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5"/>
  <sheetViews>
    <sheetView workbookViewId="0"/>
  </sheetViews>
  <sheetData>
    <row r="1">
      <c r="A1" t="str">
        <v/>
      </c>
      <c r="B1" t="str">
        <v/>
      </c>
      <c r="C1" t="str">
        <v>Ubicacion</v>
      </c>
      <c r="D1" t="str">
        <v>Ubicacion</v>
      </c>
      <c r="E1" t="str">
        <v>Ubicacion</v>
      </c>
      <c r="F1" t="str">
        <v>DETALLE DEL EQUIPO</v>
      </c>
      <c r="G1" t="str">
        <v>DETALLE DEL EQUIPO</v>
      </c>
      <c r="H1" t="str">
        <v>DETALLE DEL EQUIPO</v>
      </c>
      <c r="I1" t="str">
        <v>DETALLE DEL EQUIPO</v>
      </c>
      <c r="J1" t="str">
        <v>DETALLE DEL EQUIPO</v>
      </c>
      <c r="K1" t="str">
        <v>DETALLE DEL EQUIPO</v>
      </c>
      <c r="L1" t="str">
        <v>DETALLE DEL EQUIPO</v>
      </c>
      <c r="M1" t="str">
        <v>DETALLE DEL EQUIPO</v>
      </c>
      <c r="N1" t="str">
        <v>DETALLE DEL EQUIPO</v>
      </c>
      <c r="O1" t="str">
        <v>DETALLE DEL EQUIPO</v>
      </c>
      <c r="P1" t="str">
        <v>DETALLE DEL EQUIPO</v>
      </c>
      <c r="Q1" t="str">
        <v>DETALLE DEL EQUIPO</v>
      </c>
      <c r="R1" t="str">
        <v>DETALLE DEL EQUIPO</v>
      </c>
      <c r="S1" t="str">
        <v>DETALLE DEL EQUIPO</v>
      </c>
      <c r="T1" t="str">
        <v>DETALLE DEL EQUIPO</v>
      </c>
      <c r="U1" t="str">
        <v>DETALLE DEL EQUIPO</v>
      </c>
      <c r="V1" t="str">
        <v>DETALLE DEL EQUIPO</v>
      </c>
      <c r="W1" t="str">
        <v>DETALLE DEL EQUIPO</v>
      </c>
      <c r="X1" t="str">
        <v>DETALLE DEL EQUIPO</v>
      </c>
      <c r="Y1" t="str">
        <v>DETALLE DEL EQUIPO</v>
      </c>
      <c r="Z1" t="str">
        <v>DETALLE DEL EQUIPO</v>
      </c>
      <c r="AA1" t="str">
        <v>INFORMACION DEL ENCARGADO</v>
      </c>
      <c r="AB1" t="str">
        <v>INFORMACION DEL ENCARGADO</v>
      </c>
    </row>
    <row r="2">
      <c r="A2" t="str">
        <v>Submission Id</v>
      </c>
      <c r="B2" t="str">
        <v>Created At</v>
      </c>
      <c r="C2" t="str">
        <v>GPS Location</v>
      </c>
      <c r="D2" t="str">
        <v>CANTÓN</v>
      </c>
      <c r="E2" t="str">
        <v>PARROQUIA</v>
      </c>
      <c r="F2" t="str">
        <v>DETALLE DEL EQUIPO INFORMÁTICO</v>
      </c>
      <c r="G2" t="str">
        <v>ESTADO DEL COMPUTADOR</v>
      </c>
      <c r="H2" t="str">
        <v>INGRESE LA SERIAL O EL CÓDIGO DEL COMPUTADOR</v>
      </c>
      <c r="I2" t="str">
        <v>SELECCIONE LAS PARTES QUE TIENE  DEL COMPUTADOR</v>
      </c>
      <c r="J2" t="str">
        <v>SELECIONE LAS PARTES QUE LE FALTAN AL COMPUTADOR</v>
      </c>
      <c r="K2" t="str">
        <v>OBSERVACIÓN DEL COMPUTADOR</v>
      </c>
      <c r="L2" t="str">
        <v>ESTADO DE LA LAPTOP</v>
      </c>
      <c r="M2" t="str">
        <v>INGRESE LA SERIAL O EL CÓDIGO DE LA LAPTOP</v>
      </c>
      <c r="N2" t="str">
        <v>SELECCIONE LAS PARTES QUE TIENE LA LAPTOP</v>
      </c>
      <c r="O2" t="str">
        <v>SELECCIONE LAS PARTES QUE NO FUNCIONAN DE LA LAPTOP</v>
      </c>
      <c r="P2" t="str">
        <v>OBSERVACION DE LA LAPTOP</v>
      </c>
      <c r="Q2" t="str">
        <v>ESTADO DE LA IMPRESORA</v>
      </c>
      <c r="R2" t="str">
        <v>DIGITE EL NÚMERO DE SERIE O EL CÓDIGO DE LA IMPRESORA</v>
      </c>
      <c r="S2" t="str">
        <v>SELECIONE LAS PARTES QUE TIENE (SI SIRVEN) LA IMPRESORA</v>
      </c>
      <c r="T2" t="str">
        <v>SELECIONE LAS PARTES QUE NO FUNCIONAN DE LA IMPRESORA</v>
      </c>
      <c r="U2" t="str">
        <v>OBSERVACIÓN DE LA IMPRESORA</v>
      </c>
      <c r="V2" t="str">
        <v>INGRESE NOMBRE DEL EQUIPO</v>
      </c>
      <c r="W2" t="str">
        <v>DIGITE EL NÚMERO DE SERIE O EL CÓDIGO DEL EQUIPO</v>
      </c>
      <c r="X2" t="str">
        <v xml:space="preserve"> ESTADO DEL EQUIPO</v>
      </c>
      <c r="Y2" t="str">
        <v>OBSERVACION DEL EQUIPO</v>
      </c>
      <c r="Z2" t="str">
        <v>INGRESE UNA FOTO DEL EQUIPO</v>
      </c>
      <c r="AA2" t="str">
        <v>NOMBRE Y APELLIDO</v>
      </c>
      <c r="AB2" t="str">
        <v>CARGO</v>
      </c>
    </row>
    <row r="3">
      <c r="A3" t="str">
        <v>ZKS17160190</v>
      </c>
      <c r="B3" t="str">
        <v>04-04-2024 08:17 AM</v>
      </c>
      <c r="C3">
        <f>HYPERLINK("https://www.google.com/maps/place/-2.678692933342256%2C-78.2144114574083", "-2.678692933342256,-78.2144114574083")</f>
      </c>
      <c r="D3" t="str">
        <v>SANTIAGO DE MENDEZ</v>
      </c>
      <c r="E3" t="str">
        <v>SAN FRANCISCO DE CHINIMBIMI</v>
      </c>
      <c r="F3" t="str">
        <v>COMPUTADOR</v>
      </c>
      <c r="G3" t="str">
        <v xml:space="preserve">MALO </v>
      </c>
      <c r="H3" t="str">
        <v>LB17HCGL900177Y</v>
      </c>
      <c r="I3" t="str">
        <v>MOUSE, MONITOR, TECLADO, PARLANTE</v>
      </c>
      <c r="J3" t="str">
        <v>MICROFONO, WEBCAM, CPU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 xml:space="preserve">Mayte Campoverde </v>
      </c>
      <c r="AB3" t="str">
        <v>Teniente Político de Chinimbimi (e)</v>
      </c>
    </row>
    <row r="4">
      <c r="A4" t="str">
        <v>ZKS17160190</v>
      </c>
      <c r="B4" t="str">
        <v>04-04-2024 08:17 AM</v>
      </c>
      <c r="C4">
        <f>HYPERLINK("https://www.google.com/maps/place/-2.678692933342256%2C-78.2144114574083", "-2.678692933342256,-78.2144114574083")</f>
      </c>
      <c r="D4" t="str">
        <v>SANTIAGO DE MENDEZ</v>
      </c>
      <c r="E4" t="str">
        <v>SAN FRANCISCO DE CHINIMBIMI</v>
      </c>
      <c r="F4" t="str">
        <v>OTROS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 xml:space="preserve">PARLANTES </v>
      </c>
      <c r="W4" t="str">
        <v>034120026051</v>
      </c>
      <c r="X4" t="str">
        <v>MALO</v>
      </c>
      <c r="Y4" t="str">
        <v/>
      </c>
      <c r="Z4">
        <f>HYPERLINK("https://informaticpark.clappia.com/app/PAR478947/submission/ZKS17160190/INF070022-PAR478947-62e9kij3lo8fee0eoi3a/IMG-20240404_0811mmgcp.jpeg", "IMG-20240404_0811mmgcp.jpeg")</f>
      </c>
      <c r="AA4" t="str">
        <v xml:space="preserve">Mayte Campoverde </v>
      </c>
      <c r="AB4" t="str">
        <v>Teniente Político de Chinimbimi (e)</v>
      </c>
    </row>
    <row r="5">
      <c r="A5" t="str">
        <v>ZKS17160190</v>
      </c>
      <c r="B5" t="str">
        <v>04-04-2024 08:17 AM</v>
      </c>
      <c r="C5">
        <f>HYPERLINK("https://www.google.com/maps/place/-2.678692933342256%2C-78.2144114574083", "-2.678692933342256,-78.2144114574083")</f>
      </c>
      <c r="D5" t="str">
        <v>SANTIAGO DE MENDEZ</v>
      </c>
      <c r="E5" t="str">
        <v>SAN FRANCISCO DE CHINIMBIMI</v>
      </c>
      <c r="F5" t="str">
        <v>OTROS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TECLADO</v>
      </c>
      <c r="W5" t="str">
        <v>ZM7408022265</v>
      </c>
      <c r="X5" t="str">
        <v>MALO</v>
      </c>
      <c r="Y5" t="str">
        <v/>
      </c>
      <c r="Z5">
        <f>HYPERLINK("https://informaticpark.clappia.com/app/PAR478947/submission/ZKS17160190/INF070022-PAR478947-147c9l1n89k13ncfdde8/IMG-20240404_081211fj82.jpeg", "IMG-20240404_081211fj82.jpeg")</f>
      </c>
      <c r="AA5" t="str">
        <v xml:space="preserve">Mayte Campoverde </v>
      </c>
      <c r="AB5" t="str">
        <v>Teniente Político de Chinimbimi (e)</v>
      </c>
    </row>
    <row r="6">
      <c r="A6" t="str">
        <v>ZKS17160190</v>
      </c>
      <c r="B6" t="str">
        <v>04-04-2024 08:17 AM</v>
      </c>
      <c r="C6">
        <f>HYPERLINK("https://www.google.com/maps/place/-2.678692933342256%2C-78.2144114574083", "-2.678692933342256,-78.2144114574083")</f>
      </c>
      <c r="D6" t="str">
        <v>SANTIAGO DE MENDEZ</v>
      </c>
      <c r="E6" t="str">
        <v>SAN FRANCISCO DE CHINIMBIMI</v>
      </c>
      <c r="F6" t="str">
        <v>OTROS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MOUSE</v>
      </c>
      <c r="W6">
        <v>121753304091</v>
      </c>
      <c r="X6" t="str">
        <v>MALO</v>
      </c>
      <c r="Y6" t="str">
        <v/>
      </c>
      <c r="Z6">
        <f>HYPERLINK("https://informaticpark.clappia.com/app/PAR478947/submission/ZKS17160190/INF070022-PAR478947-k0n4b6696ji9jampa32/IMG-20240404_08147ofkp.jpeg", "IMG-20240404_08147ofkp.jpeg")</f>
      </c>
      <c r="AA6" t="str">
        <v xml:space="preserve">Mayte Campoverde </v>
      </c>
      <c r="AB6" t="str">
        <v>Teniente Político de Chinimbimi (e)</v>
      </c>
    </row>
    <row r="7">
      <c r="A7" t="str">
        <v>ZKS17160190</v>
      </c>
      <c r="B7" t="str">
        <v>04-04-2024 08:17 AM</v>
      </c>
      <c r="C7">
        <f>HYPERLINK("https://www.google.com/maps/place/-2.678692933342256%2C-78.2144114574083", "-2.678692933342256,-78.2144114574083")</f>
      </c>
      <c r="D7" t="str">
        <v>SANTIAGO DE MENDEZ</v>
      </c>
      <c r="E7" t="str">
        <v>SAN FRANCISCO DE CHINIMBIMI</v>
      </c>
      <c r="F7" t="str">
        <v>OTROS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MOUSE</v>
      </c>
      <c r="W7" t="str">
        <v>MARCA: BENQ MODELO: M106-PAU</v>
      </c>
      <c r="X7" t="str">
        <v>MALO</v>
      </c>
      <c r="Y7" t="str">
        <v/>
      </c>
      <c r="Z7">
        <f>HYPERLINK("https://informaticpark.clappia.com/app/PAR478947/submission/ZKS17160190/INF070022-PAR478947-1a30ah9dddldmm0f3hgk/IMG-20240404_081629p14.jpeg", "IMG-20240404_081629p14.jpeg")</f>
      </c>
      <c r="AA7" t="str">
        <v xml:space="preserve">Mayte Campoverde </v>
      </c>
      <c r="AB7" t="str">
        <v>Teniente Político de Chinimbimi (e)</v>
      </c>
    </row>
    <row r="8">
      <c r="A8" t="str">
        <v>WDB90264617</v>
      </c>
      <c r="B8" t="str">
        <v>03-04-2024 10:18 AM</v>
      </c>
      <c r="C8">
        <f>HYPERLINK("https://www.google.com/maps/place/-2.2668189%2C-78.131493", "-2.2668189,-78.131493")</f>
      </c>
      <c r="D8" t="str">
        <v>MORONA</v>
      </c>
      <c r="E8" t="str">
        <v>GENERAL PROAÑO</v>
      </c>
      <c r="F8" t="str">
        <v>COMPUTADOR</v>
      </c>
      <c r="G8" t="str">
        <v>REGULAR</v>
      </c>
      <c r="H8" t="str">
        <v>17030060002MP01</v>
      </c>
      <c r="I8" t="str">
        <v>MOUSE, MONITOR, TECLADO, CPU</v>
      </c>
      <c r="J8" t="str">
        <v>PARLANTE, MICROFONO, WEBCAM</v>
      </c>
      <c r="K8" t="str">
        <v>Estado regular, se apaga a cada rato, difil trabajar de cuelga y las aplicaciones son lentas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 xml:space="preserve">Tatiana Bolaños </v>
      </c>
      <c r="AB8" t="str">
        <v xml:space="preserve">Teniente político </v>
      </c>
    </row>
    <row r="9">
      <c r="A9" t="str">
        <v>WDB90264617</v>
      </c>
      <c r="B9" t="str">
        <v>03-04-2024 10:18 AM</v>
      </c>
      <c r="C9">
        <f>HYPERLINK("https://www.google.com/maps/place/-2.2668189%2C-78.131493", "-2.2668189,-78.131493")</f>
      </c>
      <c r="D9" t="str">
        <v>MORONA</v>
      </c>
      <c r="E9" t="str">
        <v>GENERAL PROAÑO</v>
      </c>
      <c r="F9" t="str">
        <v>IMPRESORA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 xml:space="preserve">MALO </v>
      </c>
      <c r="R9" t="str">
        <v>170700200001MP01</v>
      </c>
      <c r="S9" t="str">
        <v>CABLE DE CORRIENTE</v>
      </c>
      <c r="T9" t="str">
        <v>ESCANER, TONER</v>
      </c>
      <c r="U9" t="str">
        <v>Sin uso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Tatiana Bolaños </v>
      </c>
      <c r="AB9" t="str">
        <v xml:space="preserve">Teniente político </v>
      </c>
    </row>
    <row r="10">
      <c r="A10" t="str">
        <v>QLF93626357</v>
      </c>
      <c r="B10" t="str">
        <v>28-03-2024 10:56 AM</v>
      </c>
      <c r="C10">
        <f>HYPERLINK("https://www.google.com/maps/place/-3.4052048%2C-78.5790296", "-3.4052048,-78.5790296")</f>
      </c>
      <c r="D10" t="str">
        <v>GUALAQUIZA</v>
      </c>
      <c r="E10" t="str">
        <v>EL ROSARIO AGUACATE</v>
      </c>
      <c r="F10" t="str">
        <v>COMPUTADOR</v>
      </c>
      <c r="G10" t="str">
        <v xml:space="preserve">MALO </v>
      </c>
      <c r="H10" t="str">
        <v>cnc107qn8k</v>
      </c>
      <c r="I10" t="str">
        <v>MOUSE, TECLADO</v>
      </c>
      <c r="J10" t="str">
        <v>PARLANTE, MICROFONO, WEBCAM, CPU</v>
      </c>
      <c r="K10" t="str">
        <v xml:space="preserve">obsoleto 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 xml:space="preserve">Monica Encalada </v>
      </c>
      <c r="AB10" t="str">
        <v xml:space="preserve">Teniente Politico de la Parroquia el Rosario </v>
      </c>
    </row>
    <row r="11">
      <c r="A11" t="str">
        <v>UQV40626334</v>
      </c>
      <c r="B11" t="str">
        <v>28-03-2024 09:29 AM</v>
      </c>
      <c r="C11">
        <f>HYPERLINK("https://www.google.com/maps/place/-2.4510414212555256%2C-78.17123477367072", "-2.4510414212555256,-78.17123477367072")</f>
      </c>
      <c r="D11" t="str">
        <v>SUCUA</v>
      </c>
      <c r="E11" t="str">
        <v>SUCUA</v>
      </c>
      <c r="F11" t="str">
        <v>IMPRESORA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REGULAR</v>
      </c>
      <c r="R11" t="str">
        <v>C462J</v>
      </c>
      <c r="S11" t="str">
        <v>CABLE DE CORRIENTE</v>
      </c>
      <c r="T11" t="str">
        <v>ESCANER</v>
      </c>
      <c r="U11" t="str">
        <v xml:space="preserve">Impresora obsoleta, lenta y vieja 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Leonor Rocío Zabala Chacha</v>
      </c>
      <c r="AB11" t="str">
        <v>Secretaría de Comisaría de Sucua</v>
      </c>
    </row>
    <row r="12">
      <c r="A12" t="str">
        <v>LVA33789151</v>
      </c>
      <c r="B12" t="str">
        <v>28-03-2024 09:26 AM</v>
      </c>
      <c r="C12">
        <f>HYPERLINK("https://www.google.com/maps/place/-2.4510414212555256%2C-78.17123477367072", "-2.4510414212555256,-78.17123477367072")</f>
      </c>
      <c r="D12" t="str">
        <v>SUCUA</v>
      </c>
      <c r="E12" t="str">
        <v>SUCUA</v>
      </c>
      <c r="F12" t="str">
        <v>COMPUTADOR</v>
      </c>
      <c r="G12" t="str">
        <v>REGULAR</v>
      </c>
      <c r="H12" t="str">
        <v>MS19PUYKF/Zm</v>
      </c>
      <c r="I12" t="str">
        <v>MOUSE, MONITOR, TECLADO, CPU</v>
      </c>
      <c r="J12" t="str">
        <v>PARLANTE, MICROFONO, WEBCAM</v>
      </c>
      <c r="K12" t="str">
        <v>Obsoleto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Leonor Rocío Zabala Chacha</v>
      </c>
      <c r="AB12" t="str">
        <v>Secretario de Comosaria Sucua</v>
      </c>
    </row>
    <row r="13">
      <c r="A13" t="str">
        <v>SPZ33178674</v>
      </c>
      <c r="B13" t="str">
        <v>28-03-2024 09:22 AM</v>
      </c>
      <c r="C13">
        <f>HYPERLINK("https://www.google.com/maps/place/-2.4510414212555256%2C-78.17123477367072", "-2.4510414212555256,-78.17123477367072")</f>
      </c>
      <c r="D13" t="str">
        <v>SUCUA</v>
      </c>
      <c r="E13" t="str">
        <v>SUCUA</v>
      </c>
      <c r="F13" t="str">
        <v>COMPUTADOR</v>
      </c>
      <c r="G13" t="str">
        <v>REGULAR</v>
      </c>
      <c r="H13" t="str">
        <v>006TPNY2A055</v>
      </c>
      <c r="I13" t="str">
        <v>MONITOR, TECLADO, CPU</v>
      </c>
      <c r="J13" t="str">
        <v>PARLANTE, MICROFONO, WEBCAM</v>
      </c>
      <c r="K13" t="str">
        <v xml:space="preserve">No se puede guardar nada, no se puede usar zoom, no hay audio y es tan viejo que cada vez se daña 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Leonor Rocío Zabala Chacha</v>
      </c>
      <c r="AB13" t="str">
        <v xml:space="preserve">Secretaria de Comisaría Nacional de Policía del cantón Sucúa </v>
      </c>
    </row>
    <row r="14">
      <c r="A14" t="str">
        <v>ECB88684805</v>
      </c>
      <c r="B14" t="str">
        <v>28-03-2024 09:08 AM</v>
      </c>
      <c r="C14">
        <f>HYPERLINK("https://www.google.com/maps/place/-3.3583075287465216%2C-78.7883610334192", "-3.3583075287465216,-78.7883610334192")</f>
      </c>
      <c r="D14" t="str">
        <v>GUALAQUIZA</v>
      </c>
      <c r="E14" t="str">
        <v>AMAZONAS</v>
      </c>
      <c r="F14" t="str">
        <v>COMPUTADOR</v>
      </c>
      <c r="G14" t="str">
        <v xml:space="preserve">MALO </v>
      </c>
      <c r="H14" t="str">
        <v>0104884424GA0148</v>
      </c>
      <c r="I14" t="str">
        <v>MOUSE, MONITOR, TECLADO, CPU</v>
      </c>
      <c r="J14" t="str">
        <v>PARLANTE, MICROFONO, WEBCAM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Luis Miguel Jarro</v>
      </c>
      <c r="AB14" t="str">
        <v>Teniente Politico de la parroquia Amazonas</v>
      </c>
    </row>
    <row r="15">
      <c r="A15" t="str">
        <v>HNJ11495814</v>
      </c>
      <c r="B15" t="str">
        <v>28-03-2024 08:55 AM</v>
      </c>
      <c r="C15">
        <f>HYPERLINK("https://www.google.com/maps/place/-3.331533288427331%2C-78.7998286813239", "-3.331533288427331,-78.7998286813239")</f>
      </c>
      <c r="D15" t="str">
        <v>GUALAQUIZA</v>
      </c>
      <c r="E15" t="str">
        <v>SAN MIGUEL DE CUYES</v>
      </c>
      <c r="F15" t="str">
        <v>COMPUTADOR</v>
      </c>
      <c r="G15" t="str">
        <v xml:space="preserve">MALO </v>
      </c>
      <c r="H15" t="str">
        <v>0104884424GS0148</v>
      </c>
      <c r="I15" t="str">
        <v>MOUSE, MONITOR, TECLADO</v>
      </c>
      <c r="J15" t="str">
        <v>PARLANTE, MICROFONO, WEBCAM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Miguel Jarro</v>
      </c>
      <c r="AB15" t="str">
        <v>Teniente Politico de la parroquia San Miguel de Cuyes Cantón Gualaquiza</v>
      </c>
    </row>
    <row r="16">
      <c r="A16" t="str">
        <v>HNJ11495814</v>
      </c>
      <c r="B16" t="str">
        <v>28-03-2024 08:55 AM</v>
      </c>
      <c r="C16">
        <f>HYPERLINK("https://www.google.com/maps/place/-3.331533288427331%2C-78.7998286813239", "-3.331533288427331,-78.7998286813239")</f>
      </c>
      <c r="D16" t="str">
        <v>GUALAQUIZA</v>
      </c>
      <c r="E16" t="str">
        <v>SAN MIGUEL DE CUYES</v>
      </c>
      <c r="F16" t="str">
        <v>IMPRESORA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REGULAR</v>
      </c>
      <c r="R16" t="str">
        <v>700100290003GS0101</v>
      </c>
      <c r="S16" t="str">
        <v>CABLE DE CORRIENTE</v>
      </c>
      <c r="T16" t="str">
        <v>NO APLICA</v>
      </c>
      <c r="U16" t="str">
        <v>SE ENCUENTRA EN LA JEFATURA DE GUALAQUIZA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Miguel Jarro</v>
      </c>
      <c r="AB16" t="str">
        <v>Teniente Politico de la parroquia San Miguel de Cuyes Cantón Gualaquiza</v>
      </c>
    </row>
    <row r="17">
      <c r="A17" t="str">
        <v>ONH36089381</v>
      </c>
      <c r="B17" t="str">
        <v>28-03-2024 08:35 AM</v>
      </c>
      <c r="C17">
        <f>HYPERLINK("https://www.google.com/maps/place/-2.5369056476170466%2C-78.17907218442203", "-2.5369056476170466,-78.17907218442203")</f>
      </c>
      <c r="D17" t="str">
        <v>SUCUA</v>
      </c>
      <c r="E17" t="str">
        <v>HUAMBI</v>
      </c>
      <c r="F17" t="str">
        <v>COMPUTADOR</v>
      </c>
      <c r="G17" t="str">
        <v xml:space="preserve">MALO </v>
      </c>
      <c r="H17" t="str">
        <v>700100130001SH01</v>
      </c>
      <c r="I17" t="str">
        <v>MOUSE, MONITOR, TECLADO, PARLANTE</v>
      </c>
      <c r="J17" t="str">
        <v>MICROFONO, WEBCAM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Tatiana Carreño</v>
      </c>
      <c r="AB17" t="str">
        <v>Teniente Politico de la Parroquia Huambi</v>
      </c>
    </row>
    <row r="18">
      <c r="A18" t="str">
        <v>ONH36089381</v>
      </c>
      <c r="B18" t="str">
        <v>28-03-2024 08:35 AM</v>
      </c>
      <c r="C18">
        <f>HYPERLINK("https://www.google.com/maps/place/-2.5369056476170466%2C-78.17907218442203", "-2.5369056476170466,-78.17907218442203")</f>
      </c>
      <c r="D18" t="str">
        <v>SUCUA</v>
      </c>
      <c r="E18" t="str">
        <v>HUAMBI</v>
      </c>
      <c r="F18" t="str">
        <v>IMPRESORA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 xml:space="preserve">BUENO </v>
      </c>
      <c r="R18" t="str">
        <v>700100290002SH01</v>
      </c>
      <c r="S18" t="str">
        <v>NO APLICA</v>
      </c>
      <c r="T18" t="str">
        <v>NO APLICA</v>
      </c>
      <c r="U18" t="str">
        <v>Marca Samsung 2580N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Tatiana Carreño</v>
      </c>
      <c r="AB18" t="str">
        <v>Teniente Politico de la Parroquia Huambi</v>
      </c>
    </row>
    <row r="19">
      <c r="A19" t="str">
        <v>SLT38709960</v>
      </c>
      <c r="B19" t="str">
        <v>27-03-2024 03:58 PM</v>
      </c>
      <c r="C19">
        <f>HYPERLINK("https://www.google.com/maps/place/-2.7409471%2C-78.8488227", "-2.7409471,-78.8488227")</f>
      </c>
      <c r="D19" t="str">
        <v>GUALAQUIZA</v>
      </c>
      <c r="E19" t="str">
        <v>BOMBOIZA</v>
      </c>
      <c r="F19" t="str">
        <v>COMPUTADOR</v>
      </c>
      <c r="G19" t="str">
        <v xml:space="preserve">MALO </v>
      </c>
      <c r="H19" t="str">
        <v>S/N</v>
      </c>
      <c r="I19" t="str">
        <v>MONITOR, TECLADO</v>
      </c>
      <c r="J19" t="str">
        <v>MOUSE, PARLANTE, MICROFONO, WEBCAM, CPU</v>
      </c>
      <c r="K19" t="str">
        <v>LA OFICINA SOLO CUENTA CON MONITOR Y TECLADO TOTALMENTE EN MALAS CONDICIONES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MIGUEL ANTONIO QUIILAMBAQUI SAGBAY</v>
      </c>
      <c r="AB19" t="str">
        <v>TENIENTE POLITICO DE LA PARROQUIA BOMBOIZA</v>
      </c>
    </row>
    <row r="20">
      <c r="A20" t="str">
        <v>POD82551665</v>
      </c>
      <c r="B20" t="str">
        <v>27-03-2024 03:30 PM</v>
      </c>
      <c r="C20">
        <f>HYPERLINK("https://www.google.com/maps/place/-2.7409471%2C-78.8488227", "-2.7409471,-78.8488227")</f>
      </c>
      <c r="D20" t="str">
        <v>GUALAQUIZA</v>
      </c>
      <c r="E20" t="str">
        <v>GUALAQUIZA</v>
      </c>
      <c r="F20" t="str">
        <v>COMPUTADOR</v>
      </c>
      <c r="G20" t="str">
        <v>REGULAR</v>
      </c>
      <c r="H20" t="str">
        <v>05000140000-7693364</v>
      </c>
      <c r="I20" t="str">
        <v>MOUSE, MONITOR, TECLADO, PARLANTE</v>
      </c>
      <c r="J20" t="str">
        <v>MICROFONO, WEBCAM</v>
      </c>
      <c r="K20" t="str">
        <v xml:space="preserve">SI SE CUENTA CON CPU-HP *MXL0271RZ2. 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EDDIE  ARQUIMIDES ORELLANA MOSCOSO</v>
      </c>
      <c r="AB20" t="str">
        <v>SERVIDOR PUBLICO DE APOYO 2 JEFATURA POLITICA CANTON GUALAQUIZA (E)</v>
      </c>
    </row>
    <row r="21">
      <c r="A21" t="str">
        <v>POD82551665</v>
      </c>
      <c r="B21" t="str">
        <v>27-03-2024 03:30 PM</v>
      </c>
      <c r="C21">
        <f>HYPERLINK("https://www.google.com/maps/place/-2.7409471%2C-78.8488227", "-2.7409471,-78.8488227")</f>
      </c>
      <c r="D21" t="str">
        <v>GUALAQUIZA</v>
      </c>
      <c r="E21" t="str">
        <v>GUALAQUIZA</v>
      </c>
      <c r="F21" t="str">
        <v>IMPRESORA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 xml:space="preserve">MALO </v>
      </c>
      <c r="R21" t="str">
        <v>05000140000-7593205-MARCA SAMSUNG A LASER</v>
      </c>
      <c r="S21" t="str">
        <v>NO APLICA</v>
      </c>
      <c r="T21" t="str">
        <v>CABLE DE CORRIENTE, ESCANER, CARTUCHOS, TONER</v>
      </c>
      <c r="U21" t="str">
        <v>IMPRESORA  OBSOLETA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EDDIE  ARQUIMIDES ORELLANA MOSCOSO</v>
      </c>
      <c r="AB21" t="str">
        <v>SERVIDOR PUBLICO DE APOYO 2 JEFATURA POLITICA CANTON GUALAQUIZA (E)</v>
      </c>
    </row>
    <row r="22">
      <c r="A22" t="str">
        <v>BQH88878104</v>
      </c>
      <c r="B22" t="str">
        <v>27-03-2024 02:34 PM</v>
      </c>
      <c r="C22">
        <f>HYPERLINK("https://www.google.com/maps/place/-2.7409471%2C-78.8488227", "-2.7409471,-78.8488227")</f>
      </c>
      <c r="D22" t="str">
        <v>GUALAQUIZA</v>
      </c>
      <c r="E22" t="str">
        <v>NUEVA TARQUI</v>
      </c>
      <c r="F22" t="str">
        <v>COMPUTADOR</v>
      </c>
      <c r="G22" t="str">
        <v xml:space="preserve">MALO </v>
      </c>
      <c r="H22" t="str">
        <v>CNC107QMZ3</v>
      </c>
      <c r="I22" t="str">
        <v>MONITOR, TECLADO</v>
      </c>
      <c r="J22" t="str">
        <v>MOUSE, TECLADO, PARLANTE, MICROFONO, WEBCAM, CPU</v>
      </c>
      <c r="K22" t="str">
        <v>TODO ESTE EQUIPO SE ECUENTRA OBSOLETO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GABRIEL ORLANDO PILLACELA MALLA</v>
      </c>
      <c r="AB22" t="str">
        <v>TENIENTE POLITICO NUEVA TARQUI</v>
      </c>
    </row>
    <row r="23">
      <c r="A23" t="str">
        <v>BQH88878104</v>
      </c>
      <c r="B23" t="str">
        <v>27-03-2024 02:34 PM</v>
      </c>
      <c r="C23">
        <f>HYPERLINK("https://www.google.com/maps/place/-2.7409471%2C-78.8488227", "-2.7409471,-78.8488227")</f>
      </c>
      <c r="D23" t="str">
        <v>GUALAQUIZA</v>
      </c>
      <c r="E23" t="str">
        <v>NUEVA TARQUI</v>
      </c>
      <c r="F23" t="str">
        <v>IMPRESORA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REGULAR</v>
      </c>
      <c r="R23" t="str">
        <v>S/N</v>
      </c>
      <c r="S23" t="str">
        <v>CABLE DE CORRIENTE, TONER</v>
      </c>
      <c r="T23" t="str">
        <v>ESCANER, CARTUCHOS</v>
      </c>
      <c r="U23" t="str">
        <v>IMPRESORA SOLO PARA IMPRIMIR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GABRIEL ORLANDO PILLACELA MALLA</v>
      </c>
      <c r="AB23" t="str">
        <v>TENIENTE POLITICO NUEVA TARQUI</v>
      </c>
    </row>
    <row r="24">
      <c r="A24" t="str">
        <v>DKZ85087542</v>
      </c>
      <c r="B24" t="str">
        <v>27-03-2024 12:48 PM</v>
      </c>
      <c r="C24">
        <f>HYPERLINK("https://www.google.com/maps/place/-2.6476544%2C-78.5645568", "-2.6476544,-78.5645568")</f>
      </c>
      <c r="D24" t="str">
        <v>SANTIAGO DE MENDEZ</v>
      </c>
      <c r="E24" t="str">
        <v>MENDEZ</v>
      </c>
      <c r="F24" t="str">
        <v>COMPUTADOR</v>
      </c>
      <c r="G24" t="str">
        <v>REGULAR</v>
      </c>
      <c r="H24" t="str">
        <v>YC5RH9LZC06537M                                                                                                                          804NTXR3J034</v>
      </c>
      <c r="I24" t="str">
        <v>MOUSE, MONITOR, TECLADO</v>
      </c>
      <c r="J24" t="str">
        <v>PARLANTE, MICROFONO, WEBCAM, CPU</v>
      </c>
      <c r="K24" t="str">
        <v xml:space="preserve">EL EQUIPO ES DEMASIADOP LENTO POR ELLO SE REQUIERE CAMBIO 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 xml:space="preserve">ZAIDA VICUÑA </v>
      </c>
      <c r="AB24" t="str">
        <v xml:space="preserve">ASISTENTE DE COMISARIA </v>
      </c>
    </row>
    <row r="25">
      <c r="A25" t="str">
        <v>DKZ85087542</v>
      </c>
      <c r="B25" t="str">
        <v>27-03-2024 12:48 PM</v>
      </c>
      <c r="C25">
        <f>HYPERLINK("https://www.google.com/maps/place/-2.6476544%2C-78.5645568", "-2.6476544,-78.5645568")</f>
      </c>
      <c r="D25" t="str">
        <v>SANTIAGO DE MENDEZ</v>
      </c>
      <c r="E25" t="str">
        <v>MENDEZ</v>
      </c>
      <c r="F25" t="str">
        <v>OTROS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 xml:space="preserve">CPU </v>
      </c>
      <c r="W25" t="str">
        <v>SN</v>
      </c>
      <c r="X25" t="str">
        <v>MALO</v>
      </c>
      <c r="Y25" t="str">
        <v xml:space="preserve">ENVIA EL COMISARIO ANIBAL OLOVACHE AL TECNICO DE LA GOBERNACIÓN EN EL MES DE FEBRERO NO EXISTE ACTA </v>
      </c>
      <c r="Z25">
        <f>HYPERLINK("https://informaticpark.clappia.com/app/PAR478947/submission/DKZ85087542/INF070022-PAR478947-3k5dio69kl5m00000000/WhatsApp%20Image%202024-03-27%20at%2012.42.59.jpeg", "WhatsApp Image 2024-03-27 at 12.42.59.jpeg")</f>
      </c>
      <c r="AA25" t="str">
        <v xml:space="preserve">ZAIDA VICUÑA </v>
      </c>
      <c r="AB25" t="str">
        <v xml:space="preserve">ASISTENTE DE COMISARIA </v>
      </c>
    </row>
    <row r="26">
      <c r="A26" t="str">
        <v>DKZ85087542</v>
      </c>
      <c r="B26" t="str">
        <v>27-03-2024 12:48 PM</v>
      </c>
      <c r="C26">
        <f>HYPERLINK("https://www.google.com/maps/place/-2.6476544%2C-78.5645568", "-2.6476544,-78.5645568")</f>
      </c>
      <c r="D26" t="str">
        <v>SANTIAGO DE MENDEZ</v>
      </c>
      <c r="E26" t="str">
        <v>MENDEZ</v>
      </c>
      <c r="F26" t="str">
        <v>IMPRESORA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 xml:space="preserve">MALO </v>
      </c>
      <c r="R26" t="str">
        <v>05000140000-7593368</v>
      </c>
      <c r="S26" t="str">
        <v>CABLE DE CORRIENTE, CARTUCHOS</v>
      </c>
      <c r="T26" t="str">
        <v>ESCANER</v>
      </c>
      <c r="U26" t="str">
        <v>NO IMPRIME-NO FUINCIONA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 xml:space="preserve">ZAIDA VICUÑA </v>
      </c>
      <c r="AB26" t="str">
        <v xml:space="preserve">ASISTENTE DE COMISARIA </v>
      </c>
    </row>
    <row r="27">
      <c r="A27" t="str">
        <v>DKZ85087542</v>
      </c>
      <c r="B27" t="str">
        <v>27-03-2024 12:48 PM</v>
      </c>
      <c r="C27">
        <f>HYPERLINK("https://www.google.com/maps/place/-2.6476544%2C-78.5645568", "-2.6476544,-78.5645568")</f>
      </c>
      <c r="D27" t="str">
        <v>SANTIAGO DE MENDEZ</v>
      </c>
      <c r="E27" t="str">
        <v>MENDEZ</v>
      </c>
      <c r="F27" t="str">
        <v>OTROS</v>
      </c>
      <c r="G27" t="str">
        <v/>
      </c>
      <c r="H27" t="str">
        <v>3ECWB066582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TELEFONO DE BASE</v>
      </c>
      <c r="W27" t="str">
        <v>3ECWB066582</v>
      </c>
      <c r="X27" t="str">
        <v>REGULAR</v>
      </c>
      <c r="Y27" t="str">
        <v>EXISTE FALLA EN EL VOLUMEN, A VECES FUNCIONA</v>
      </c>
      <c r="Z27">
        <f>HYPERLINK("https://informaticpark.clappia.com/app/PAR478947/submission/DKZ85087542/INF070022-PAR478947-5oa6ce7d4go000000000/WhatsApp%20Image%202024-03-27%20at%2011.42.25.jpeg", "WhatsApp Image 2024-03-27 at 11.42.25.jpeg")</f>
      </c>
      <c r="AA27" t="str">
        <v xml:space="preserve">ZAIDA VICUÑA </v>
      </c>
      <c r="AB27" t="str">
        <v xml:space="preserve">ASISTENTE DE COMISARIA </v>
      </c>
    </row>
    <row r="28">
      <c r="A28" t="str">
        <v>DKZ85087542</v>
      </c>
      <c r="B28" t="str">
        <v>27-03-2024 12:48 PM</v>
      </c>
      <c r="C28">
        <f>HYPERLINK("https://www.google.com/maps/place/-2.6476544%2C-78.5645568", "-2.6476544,-78.5645568")</f>
      </c>
      <c r="D28" t="str">
        <v>SANTIAGO DE MENDEZ</v>
      </c>
      <c r="E28" t="str">
        <v>MENDEZ</v>
      </c>
      <c r="F28" t="str">
        <v>OTROS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ESCRITORIO MELANINE</v>
      </c>
      <c r="W28" t="str">
        <v>0500014000026148808</v>
      </c>
      <c r="X28" t="str">
        <v>REGULAR</v>
      </c>
      <c r="Y28" t="str">
        <v xml:space="preserve">DETERIORADO </v>
      </c>
      <c r="Z28">
        <f>HYPERLINK("https://informaticpark.clappia.com/app/PAR478947/submission/DKZ85087542/INF070022-PAR478947-44i3i313fpg600000000/WhatsApp%20Image%202024-03-27%20at%2011.45.17.jpeg", "WhatsApp Image 2024-03-27 at 11.45.17.jpeg")</f>
      </c>
      <c r="AA28" t="str">
        <v xml:space="preserve">ZAIDA VICUÑA </v>
      </c>
      <c r="AB28" t="str">
        <v xml:space="preserve">ASISTENTE DE COMISARIA </v>
      </c>
    </row>
    <row r="29">
      <c r="A29" t="str">
        <v>DKZ85087542</v>
      </c>
      <c r="B29" t="str">
        <v>27-03-2024 12:48 PM</v>
      </c>
      <c r="C29">
        <f>HYPERLINK("https://www.google.com/maps/place/-2.6476544%2C-78.5645568", "-2.6476544,-78.5645568")</f>
      </c>
      <c r="D29" t="str">
        <v>SANTIAGO DE MENDEZ</v>
      </c>
      <c r="E29" t="str">
        <v>MENDEZ</v>
      </c>
      <c r="F29" t="str">
        <v>OTROS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TECLADO</v>
      </c>
      <c r="W29" t="str">
        <v>BDAEV0Q5Y4ODTN</v>
      </c>
      <c r="X29" t="str">
        <v>MALO</v>
      </c>
      <c r="Y29" t="str">
        <v xml:space="preserve">NO FUNCIONA </v>
      </c>
      <c r="Z29">
        <f>HYPERLINK("https://informaticpark.clappia.com/app/PAR478947/submission/DKZ85087542/INF070022-PAR478947-1470jp82d2acg0000000/WhatsApp%20Image%202024-03-27%20at%2011.48.19.jpeg", "WhatsApp Image 2024-03-27 at 11.48.19.jpeg")</f>
      </c>
      <c r="AA29" t="str">
        <v xml:space="preserve">ZAIDA VICUÑA </v>
      </c>
      <c r="AB29" t="str">
        <v xml:space="preserve">ASISTENTE DE COMISARIA </v>
      </c>
    </row>
    <row r="30">
      <c r="A30" t="str">
        <v>DKZ85087542</v>
      </c>
      <c r="B30" t="str">
        <v>27-03-2024 12:48 PM</v>
      </c>
      <c r="C30">
        <f>HYPERLINK("https://www.google.com/maps/place/-2.6476544%2C-78.5645568", "-2.6476544,-78.5645568")</f>
      </c>
      <c r="D30" t="str">
        <v>SANTIAGO DE MENDEZ</v>
      </c>
      <c r="E30" t="str">
        <v>MENDEZ</v>
      </c>
      <c r="F30" t="str">
        <v>OTROS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MOUSE</v>
      </c>
      <c r="W30" t="str">
        <v>1400392716SM0155</v>
      </c>
      <c r="X30" t="str">
        <v>MALO</v>
      </c>
      <c r="Y30" t="str">
        <v>NO FUNCIONA</v>
      </c>
      <c r="Z30">
        <f>HYPERLINK("https://informaticpark.clappia.com/app/PAR478947/submission/DKZ85087542/INF070022-PAR478947-1kg90ghi4g73m0000000/WhatsApp%20Image%202024-03-27%20at%2011.48.26.jpeg", "WhatsApp Image 2024-03-27 at 11.48.26.jpeg")</f>
      </c>
      <c r="AA30" t="str">
        <v xml:space="preserve">ZAIDA VICUÑA </v>
      </c>
      <c r="AB30" t="str">
        <v xml:space="preserve">ASISTENTE DE COMISARIA </v>
      </c>
    </row>
    <row r="31">
      <c r="A31" t="str">
        <v>DKZ85087542</v>
      </c>
      <c r="B31" t="str">
        <v>27-03-2024 12:48 PM</v>
      </c>
      <c r="C31">
        <f>HYPERLINK("https://www.google.com/maps/place/-2.6476544%2C-78.5645568", "-2.6476544,-78.5645568")</f>
      </c>
      <c r="D31" t="str">
        <v>SANTIAGO DE MENDEZ</v>
      </c>
      <c r="E31" t="str">
        <v>MENDEZ</v>
      </c>
      <c r="F31" t="str">
        <v>OTROS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 xml:space="preserve">ESCRITORIO </v>
      </c>
      <c r="W31" t="str">
        <v>05000014000028148814</v>
      </c>
      <c r="X31" t="str">
        <v>REGULAR</v>
      </c>
      <c r="Y31" t="str">
        <v>DETERIORADO</v>
      </c>
      <c r="Z31">
        <f>HYPERLINK("https://informaticpark.clappia.com/app/PAR478947/submission/DKZ85087542/INF070022-PAR478947-6a5ndci6am0200000000/WhatsApp%20Image%202024-03-27%20at%2011.51.07.jpeg", "WhatsApp Image 2024-03-27 at 11.51.07.jpeg")</f>
      </c>
      <c r="AA31" t="str">
        <v xml:space="preserve">ZAIDA VICUÑA </v>
      </c>
      <c r="AB31" t="str">
        <v xml:space="preserve">ASISTENTE DE COMISARIA </v>
      </c>
    </row>
    <row r="32">
      <c r="A32" t="str">
        <v>DKZ85087542</v>
      </c>
      <c r="B32" t="str">
        <v>27-03-2024 12:48 PM</v>
      </c>
      <c r="C32">
        <f>HYPERLINK("https://www.google.com/maps/place/-2.6476544%2C-78.5645568", "-2.6476544,-78.5645568")</f>
      </c>
      <c r="D32" t="str">
        <v>SANTIAGO DE MENDEZ</v>
      </c>
      <c r="E32" t="str">
        <v>MENDEZ</v>
      </c>
      <c r="F32" t="str">
        <v>OTROS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ARCHIVADOR METAL</v>
      </c>
      <c r="W32" t="str">
        <v>0500014000026148813</v>
      </c>
      <c r="X32" t="str">
        <v>REGULAR</v>
      </c>
      <c r="Y32" t="str">
        <v xml:space="preserve">NO EXISTE LLAVE DE SEGURIDAD </v>
      </c>
      <c r="Z32">
        <f>HYPERLINK("https://informaticpark.clappia.com/app/PAR478947/submission/DKZ85087542/INF070022-PAR478947-19a670p1f99i00000000/WhatsApp%20Image%202024-03-27%20at%2011.52.50.jpeg", "WhatsApp Image 2024-03-27 at 11.52.50.jpeg")</f>
      </c>
      <c r="AA32" t="str">
        <v xml:space="preserve">ZAIDA VICUÑA </v>
      </c>
      <c r="AB32" t="str">
        <v xml:space="preserve">ASISTENTE DE COMISARIA </v>
      </c>
    </row>
    <row r="33">
      <c r="A33" t="str">
        <v>DKZ85087542</v>
      </c>
      <c r="B33" t="str">
        <v>27-03-2024 12:48 PM</v>
      </c>
      <c r="C33">
        <f>HYPERLINK("https://www.google.com/maps/place/-2.6476544%2C-78.5645568", "-2.6476544,-78.5645568")</f>
      </c>
      <c r="D33" t="str">
        <v>SANTIAGO DE MENDEZ</v>
      </c>
      <c r="E33" t="str">
        <v>MENDEZ</v>
      </c>
      <c r="F33" t="str">
        <v>OTROS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 xml:space="preserve">ARCHIVADOR METAL </v>
      </c>
      <c r="W33" t="str">
        <v>0500014000026148812</v>
      </c>
      <c r="X33" t="str">
        <v>REGULAR</v>
      </c>
      <c r="Y33" t="str">
        <v xml:space="preserve">NO EXISTE LLAVE DE SEGURIDAD </v>
      </c>
      <c r="Z33">
        <f>HYPERLINK("https://informaticpark.clappia.com/app/PAR478947/submission/DKZ85087542/INF070022-PAR478947-5cba3j66hnd200000000/WhatsApp%20Image%202024-03-27%20at%2011.55.01.jpeg", "WhatsApp Image 2024-03-27 at 11.55.01.jpeg")</f>
      </c>
      <c r="AA33" t="str">
        <v xml:space="preserve">ZAIDA VICUÑA </v>
      </c>
      <c r="AB33" t="str">
        <v xml:space="preserve">ASISTENTE DE COMISARIA </v>
      </c>
    </row>
    <row r="34">
      <c r="A34" t="str">
        <v>DKZ85087542</v>
      </c>
      <c r="B34" t="str">
        <v>27-03-2024 12:48 PM</v>
      </c>
      <c r="C34">
        <f>HYPERLINK("https://www.google.com/maps/place/-2.6476544%2C-78.5645568", "-2.6476544,-78.5645568")</f>
      </c>
      <c r="D34" t="str">
        <v>SANTIAGO DE MENDEZ</v>
      </c>
      <c r="E34" t="str">
        <v>MENDEZ</v>
      </c>
      <c r="F34" t="str">
        <v>OTROS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PERFORADORA PEQUEÑA</v>
      </c>
      <c r="W34" t="str">
        <v>1704006300015MO202</v>
      </c>
      <c r="X34" t="str">
        <v>BUENO</v>
      </c>
      <c r="Y34" t="str">
        <v/>
      </c>
      <c r="Z34">
        <f>HYPERLINK("https://informaticpark.clappia.com/app/PAR478947/submission/DKZ85087542/INF070022-PAR478947-17d0i4401lk2k0000000/WhatsApp%20Image%202024-03-27%20at%2011.57.27.jpeg", "WhatsApp Image 2024-03-27 at 11.57.27.jpeg")</f>
      </c>
      <c r="AA34" t="str">
        <v xml:space="preserve">ZAIDA VICUÑA </v>
      </c>
      <c r="AB34" t="str">
        <v xml:space="preserve">ASISTENTE DE COMISARIA </v>
      </c>
    </row>
    <row r="35">
      <c r="A35" t="str">
        <v>DKZ85087542</v>
      </c>
      <c r="B35" t="str">
        <v>27-03-2024 12:48 PM</v>
      </c>
      <c r="C35">
        <f>HYPERLINK("https://www.google.com/maps/place/-2.6476544%2C-78.5645568", "-2.6476544,-78.5645568")</f>
      </c>
      <c r="D35" t="str">
        <v>SANTIAGO DE MENDEZ</v>
      </c>
      <c r="E35" t="str">
        <v>MENDEZ</v>
      </c>
      <c r="F35" t="str">
        <v>OTROS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 xml:space="preserve">PERFORADORA GRANDE </v>
      </c>
      <c r="W35" t="str">
        <v>170400750001SMO201</v>
      </c>
      <c r="X35" t="str">
        <v>MALO</v>
      </c>
      <c r="Y35" t="str">
        <v>NO SIRVE</v>
      </c>
      <c r="Z35">
        <f>HYPERLINK("https://informaticpark.clappia.com/app/PAR478947/submission/DKZ85087542/INF070022-PAR478947-6bf4p99o74ag00000000/WhatsApp%20Image%202024-03-27%20at%2012.03.02.jpeg", "WhatsApp Image 2024-03-27 at 12.03.02.jpeg")</f>
      </c>
      <c r="AA35" t="str">
        <v xml:space="preserve">ZAIDA VICUÑA </v>
      </c>
      <c r="AB35" t="str">
        <v xml:space="preserve">ASISTENTE DE COMISARIA </v>
      </c>
    </row>
    <row r="36">
      <c r="A36" t="str">
        <v>DKZ85087542</v>
      </c>
      <c r="B36" t="str">
        <v>27-03-2024 12:48 PM</v>
      </c>
      <c r="C36">
        <f>HYPERLINK("https://www.google.com/maps/place/-2.6476544%2C-78.5645568", "-2.6476544,-78.5645568")</f>
      </c>
      <c r="D36" t="str">
        <v>SANTIAGO DE MENDEZ</v>
      </c>
      <c r="E36" t="str">
        <v>MENDEZ</v>
      </c>
      <c r="F36" t="str">
        <v>OTROS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 xml:space="preserve">GRAPADORA GRANDE </v>
      </c>
      <c r="W36" t="str">
        <v>70400630001SM05201</v>
      </c>
      <c r="X36" t="str">
        <v>MALO</v>
      </c>
      <c r="Y36" t="str">
        <v>NO FUNCIONA</v>
      </c>
      <c r="Z36">
        <f>HYPERLINK("https://informaticpark.clappia.com/app/PAR478947/submission/DKZ85087542/INF070022-PAR478947-129m0m727f8ik0000000/WhatsApp%20Image%202024-03-27%20at%2012.03.01.jpeg", "WhatsApp Image 2024-03-27 at 12.03.01.jpeg")</f>
      </c>
      <c r="AA36" t="str">
        <v xml:space="preserve">ZAIDA VICUÑA </v>
      </c>
      <c r="AB36" t="str">
        <v xml:space="preserve">ASISTENTE DE COMISARIA </v>
      </c>
    </row>
    <row r="37">
      <c r="A37" t="str">
        <v>DKZ85087542</v>
      </c>
      <c r="B37" t="str">
        <v>27-03-2024 12:48 PM</v>
      </c>
      <c r="C37">
        <f>HYPERLINK("https://www.google.com/maps/place/-2.6476544%2C-78.5645568", "-2.6476544,-78.5645568")</f>
      </c>
      <c r="D37" t="str">
        <v>SANTIAGO DE MENDEZ</v>
      </c>
      <c r="E37" t="str">
        <v>MENDEZ</v>
      </c>
      <c r="F37" t="str">
        <v>OTROS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 xml:space="preserve">GRAPADORA PEQUEÑA </v>
      </c>
      <c r="W37" t="str">
        <v>S/N</v>
      </c>
      <c r="X37" t="str">
        <v>BUENO</v>
      </c>
      <c r="Y37" t="str">
        <v xml:space="preserve">SI SIRVE PERO EL CODIGO NO SE VISUALIZA </v>
      </c>
      <c r="Z37">
        <f>HYPERLINK("https://informaticpark.clappia.com/app/PAR478947/submission/DKZ85087542/INF070022-PAR478947-e23p5n0kda9k0000000/WhatsApp%20Image%202024-03-27%20at%2011.57.27%20%281%29.jpeg", "WhatsApp Image 2024-03-27 at 11.57.27 (1).jpeg")</f>
      </c>
      <c r="AA37" t="str">
        <v xml:space="preserve">ZAIDA VICUÑA </v>
      </c>
      <c r="AB37" t="str">
        <v xml:space="preserve">ASISTENTE DE COMISARIA </v>
      </c>
    </row>
    <row r="38">
      <c r="A38" t="str">
        <v>DKZ85087542</v>
      </c>
      <c r="B38" t="str">
        <v>27-03-2024 12:48 PM</v>
      </c>
      <c r="C38">
        <f>HYPERLINK("https://www.google.com/maps/place/-2.6476544%2C-78.5645568", "-2.6476544,-78.5645568")</f>
      </c>
      <c r="D38" t="str">
        <v>SANTIAGO DE MENDEZ</v>
      </c>
      <c r="E38" t="str">
        <v>MENDEZ</v>
      </c>
      <c r="F38" t="str">
        <v>OTROS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 xml:space="preserve">MUEBLE DE OFICINA ESCRITORIO MELAMÍNICO </v>
      </c>
      <c r="W38" t="str">
        <v>05000140000-26148811</v>
      </c>
      <c r="X38" t="str">
        <v>MALO</v>
      </c>
      <c r="Y38" t="str">
        <v xml:space="preserve">DETERIORADO NO SIRVE </v>
      </c>
      <c r="Z38">
        <f>HYPERLINK("https://informaticpark.clappia.com/app/PAR478947/submission/DKZ85087542/INF070022-PAR478947-28aclhlbkgkk80000000/WhatsApp%20Image%202024-03-27%20at%2012.10.50.jpeg", "WhatsApp Image 2024-03-27 at 12.10.50.jpeg")</f>
      </c>
      <c r="AA38" t="str">
        <v xml:space="preserve">ZAIDA VICUÑA </v>
      </c>
      <c r="AB38" t="str">
        <v xml:space="preserve">ASISTENTE DE COMISARIA </v>
      </c>
    </row>
    <row r="39">
      <c r="A39" t="str">
        <v>DKZ85087542</v>
      </c>
      <c r="B39" t="str">
        <v>27-03-2024 12:48 PM</v>
      </c>
      <c r="C39">
        <f>HYPERLINK("https://www.google.com/maps/place/-2.6476544%2C-78.5645568", "-2.6476544,-78.5645568")</f>
      </c>
      <c r="D39" t="str">
        <v>SANTIAGO DE MENDEZ</v>
      </c>
      <c r="E39" t="str">
        <v>MENDEZ</v>
      </c>
      <c r="F39" t="str">
        <v>OTROS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 xml:space="preserve">SILLA </v>
      </c>
      <c r="W39" t="str">
        <v>30010028007SMC0702</v>
      </c>
      <c r="X39" t="str">
        <v>MALO</v>
      </c>
      <c r="Y39" t="str">
        <v xml:space="preserve">ROTO EL ASIENTO </v>
      </c>
      <c r="Z39">
        <f>HYPERLINK("https://informaticpark.clappia.com/app/PAR478947/submission/DKZ85087542/INF070022-PAR478947-82e22jd3n90k0000000/WhatsApp%20Image%202024-03-27%20at%2012.18.04.jpeg", "WhatsApp Image 2024-03-27 at 12.18.04.jpeg")</f>
      </c>
      <c r="AA39" t="str">
        <v xml:space="preserve">ZAIDA VICUÑA </v>
      </c>
      <c r="AB39" t="str">
        <v xml:space="preserve">ASISTENTE DE COMISARIA </v>
      </c>
    </row>
    <row r="40">
      <c r="A40" t="str">
        <v>DKZ85087542</v>
      </c>
      <c r="B40" t="str">
        <v>27-03-2024 12:48 PM</v>
      </c>
      <c r="C40">
        <f>HYPERLINK("https://www.google.com/maps/place/-2.6476544%2C-78.5645568", "-2.6476544,-78.5645568")</f>
      </c>
      <c r="D40" t="str">
        <v>SANTIAGO DE MENDEZ</v>
      </c>
      <c r="E40" t="str">
        <v>MENDEZ</v>
      </c>
      <c r="F40" t="str">
        <v>OTROS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MUEBLE DE OFICINA MELAMÍNICO</v>
      </c>
      <c r="W40" t="str">
        <v>05000140000-26148815</v>
      </c>
      <c r="X40" t="str">
        <v>MALO</v>
      </c>
      <c r="Y40" t="str">
        <v xml:space="preserve">NO SIRVEN LOS CAJONES </v>
      </c>
      <c r="Z40">
        <f>HYPERLINK("https://informaticpark.clappia.com/app/PAR478947/submission/DKZ85087542/INF070022-PAR478947-5klhj7gd376800000000/WhatsApp%20Image%202024-03-27%20at%2012.10.52.jpeg", "WhatsApp Image 2024-03-27 at 12.10.52.jpeg")</f>
      </c>
      <c r="AA40" t="str">
        <v xml:space="preserve">ZAIDA VICUÑA </v>
      </c>
      <c r="AB40" t="str">
        <v xml:space="preserve">ASISTENTE DE COMISARIA </v>
      </c>
    </row>
    <row r="41">
      <c r="A41" t="str">
        <v>DKZ85087542</v>
      </c>
      <c r="B41" t="str">
        <v>27-03-2024 12:48 PM</v>
      </c>
      <c r="C41">
        <f>HYPERLINK("https://www.google.com/maps/place/-2.6476544%2C-78.5645568", "-2.6476544,-78.5645568")</f>
      </c>
      <c r="D41" t="str">
        <v>SANTIAGO DE MENDEZ</v>
      </c>
      <c r="E41" t="str">
        <v>MENDEZ</v>
      </c>
      <c r="F41" t="str">
        <v>OTROS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 xml:space="preserve">SILLA </v>
      </c>
      <c r="W41">
        <v>0</v>
      </c>
      <c r="X41" t="str">
        <v>MALO</v>
      </c>
      <c r="Y41" t="str">
        <v>POR DETERIORADA NO SE PUEDE OBSERVAR EL CODIGO</v>
      </c>
      <c r="Z41">
        <f>HYPERLINK("https://informaticpark.clappia.com/app/PAR478947/submission/DKZ85087542/INF070022-PAR478947-2dhpl9cfodig00000000/WhatsApp%20Image%202024-03-27%20at%2012.18.03.jpeg", "WhatsApp Image 2024-03-27 at 12.18.03.jpeg")</f>
      </c>
      <c r="AA41" t="str">
        <v xml:space="preserve">ZAIDA VICUÑA </v>
      </c>
      <c r="AB41" t="str">
        <v xml:space="preserve">ASISTENTE DE COMISARIA </v>
      </c>
    </row>
    <row r="42">
      <c r="A42" t="str">
        <v>DKZ85087542</v>
      </c>
      <c r="B42" t="str">
        <v>27-03-2024 12:48 PM</v>
      </c>
      <c r="C42">
        <f>HYPERLINK("https://www.google.com/maps/place/-2.6476544%2C-78.5645568", "-2.6476544,-78.5645568")</f>
      </c>
      <c r="D42" t="str">
        <v>SANTIAGO DE MENDEZ</v>
      </c>
      <c r="E42" t="str">
        <v>MENDEZ</v>
      </c>
      <c r="F42" t="str">
        <v>OTROS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 xml:space="preserve">SILLA </v>
      </c>
      <c r="W42" t="str">
        <v>300100280007SMC0705</v>
      </c>
      <c r="X42" t="str">
        <v>MALO</v>
      </c>
      <c r="Y42" t="str">
        <v xml:space="preserve">ROTA LA PATA </v>
      </c>
      <c r="Z42">
        <f>HYPERLINK("https://informaticpark.clappia.com/app/PAR478947/submission/DKZ85087542/INF070022-PAR478947-2je9l17fhe3c00000000/WhatsApp%20Image%202024-03-27%20at%2012.18.01.jpeg", "WhatsApp Image 2024-03-27 at 12.18.01.jpeg")</f>
      </c>
      <c r="AA42" t="str">
        <v xml:space="preserve">ZAIDA VICUÑA </v>
      </c>
      <c r="AB42" t="str">
        <v xml:space="preserve">ASISTENTE DE COMISARIA </v>
      </c>
    </row>
    <row r="43">
      <c r="A43" t="str">
        <v>DKZ85087542</v>
      </c>
      <c r="B43" t="str">
        <v>27-03-2024 12:48 PM</v>
      </c>
      <c r="C43">
        <f>HYPERLINK("https://www.google.com/maps/place/-2.6476544%2C-78.5645568", "-2.6476544,-78.5645568")</f>
      </c>
      <c r="D43" t="str">
        <v>SANTIAGO DE MENDEZ</v>
      </c>
      <c r="E43" t="str">
        <v>MENDEZ</v>
      </c>
      <c r="F43" t="str">
        <v>OTROS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 xml:space="preserve">SILLA </v>
      </c>
      <c r="W43" t="str">
        <v>3001002800079MC0706</v>
      </c>
      <c r="X43" t="str">
        <v>BUENO</v>
      </c>
      <c r="Y43" t="str">
        <v/>
      </c>
      <c r="Z43">
        <f>HYPERLINK("https://informaticpark.clappia.com/app/PAR478947/submission/DKZ85087542/INF070022-PAR478947-35clb160hl8g00000000/WhatsApp%20Image%202024-03-27%20at%2012.16.55.jpeg", "WhatsApp Image 2024-03-27 at 12.16.55.jpeg")</f>
      </c>
      <c r="AA43" t="str">
        <v xml:space="preserve">ZAIDA VICUÑA </v>
      </c>
      <c r="AB43" t="str">
        <v xml:space="preserve">ASISTENTE DE COMISARIA </v>
      </c>
    </row>
    <row r="44">
      <c r="A44" t="str">
        <v>DKZ85087542</v>
      </c>
      <c r="B44" t="str">
        <v>27-03-2024 12:48 PM</v>
      </c>
      <c r="C44">
        <f>HYPERLINK("https://www.google.com/maps/place/-2.6476544%2C-78.5645568", "-2.6476544,-78.5645568")</f>
      </c>
      <c r="D44" t="str">
        <v>SANTIAGO DE MENDEZ</v>
      </c>
      <c r="E44" t="str">
        <v>MENDEZ</v>
      </c>
      <c r="F44" t="str">
        <v>OTROS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 xml:space="preserve">SILLA </v>
      </c>
      <c r="W44" t="str">
        <v>300100280007SMC0707</v>
      </c>
      <c r="X44" t="str">
        <v>BUENO</v>
      </c>
      <c r="Y44" t="str">
        <v/>
      </c>
      <c r="Z44">
        <f>HYPERLINK("https://informaticpark.clappia.com/app/PAR478947/submission/DKZ85087542/INF070022-PAR478947-3he46161kpd200000000/WhatsApp%20Image%202024-03-27%20at%2012.16.55.jpeg", "WhatsApp Image 2024-03-27 at 12.16.55.jpeg")</f>
      </c>
      <c r="AA44" t="str">
        <v xml:space="preserve">ZAIDA VICUÑA </v>
      </c>
      <c r="AB44" t="str">
        <v xml:space="preserve">ASISTENTE DE COMISARIA </v>
      </c>
    </row>
    <row r="45">
      <c r="A45" t="str">
        <v>DKZ85087542</v>
      </c>
      <c r="B45" t="str">
        <v>27-03-2024 12:48 PM</v>
      </c>
      <c r="C45">
        <f>HYPERLINK("https://www.google.com/maps/place/-2.6476544%2C-78.5645568", "-2.6476544,-78.5645568")</f>
      </c>
      <c r="D45" t="str">
        <v>SANTIAGO DE MENDEZ</v>
      </c>
      <c r="E45" t="str">
        <v>MENDEZ</v>
      </c>
      <c r="F45" t="str">
        <v>OTROS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 xml:space="preserve">SILLA </v>
      </c>
      <c r="W45" t="str">
        <v>300100280007SM0115</v>
      </c>
      <c r="X45" t="str">
        <v>BUENO</v>
      </c>
      <c r="Y45" t="str">
        <v/>
      </c>
      <c r="Z45">
        <f>HYPERLINK("https://informaticpark.clappia.com/app/PAR478947/submission/DKZ85087542/INF070022-PAR478947-11opnn3elod600000000/WhatsApp%20Image%202024-03-27%20at%2012.16.55.jpeg", "WhatsApp Image 2024-03-27 at 12.16.55.jpeg")</f>
      </c>
      <c r="AA45" t="str">
        <v xml:space="preserve">ZAIDA VICUÑA </v>
      </c>
      <c r="AB45" t="str">
        <v xml:space="preserve">ASISTENTE DE COMISARIA </v>
      </c>
    </row>
    <row r="46">
      <c r="A46" t="str">
        <v>DKZ85087542</v>
      </c>
      <c r="B46" t="str">
        <v>27-03-2024 12:48 PM</v>
      </c>
      <c r="C46">
        <f>HYPERLINK("https://www.google.com/maps/place/-2.6476544%2C-78.5645568", "-2.6476544,-78.5645568")</f>
      </c>
      <c r="D46" t="str">
        <v>SANTIAGO DE MENDEZ</v>
      </c>
      <c r="E46" t="str">
        <v>MENDEZ</v>
      </c>
      <c r="F46" t="str">
        <v>OTROS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 xml:space="preserve">SILLA </v>
      </c>
      <c r="W46" t="str">
        <v>300100280007SM0114</v>
      </c>
      <c r="X46" t="str">
        <v>BUENO</v>
      </c>
      <c r="Y46" t="str">
        <v/>
      </c>
      <c r="Z46">
        <f>HYPERLINK("https://informaticpark.clappia.com/app/PAR478947/submission/DKZ85087542/INF070022-PAR478947-4c0h6pj9nd5o00000000/WhatsApp%20Image%202024-03-27%20at%2012.16.55.jpeg", "WhatsApp Image 2024-03-27 at 12.16.55.jpeg")</f>
      </c>
      <c r="AA46" t="str">
        <v xml:space="preserve">ZAIDA VICUÑA </v>
      </c>
      <c r="AB46" t="str">
        <v xml:space="preserve">ASISTENTE DE COMISARIA </v>
      </c>
    </row>
    <row r="47">
      <c r="A47" t="str">
        <v>DKZ85087542</v>
      </c>
      <c r="B47" t="str">
        <v>27-03-2024 12:48 PM</v>
      </c>
      <c r="C47">
        <f>HYPERLINK("https://www.google.com/maps/place/-2.6476544%2C-78.5645568", "-2.6476544,-78.5645568")</f>
      </c>
      <c r="D47" t="str">
        <v>SANTIAGO DE MENDEZ</v>
      </c>
      <c r="E47" t="str">
        <v>MENDEZ</v>
      </c>
      <c r="F47" t="str">
        <v>OTROS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SILLA</v>
      </c>
      <c r="W47" t="str">
        <v>300100280007SMC0701</v>
      </c>
      <c r="X47" t="str">
        <v>BUENO</v>
      </c>
      <c r="Y47" t="str">
        <v/>
      </c>
      <c r="Z47">
        <f>HYPERLINK("https://informaticpark.clappia.com/app/PAR478947/submission/DKZ85087542/INF070022-PAR478947-124pdagp0hb120000000/WhatsApp%20Image%202024-03-27%20at%2012.16.55.jpeg", "WhatsApp Image 2024-03-27 at 12.16.55.jpeg")</f>
      </c>
      <c r="AA47" t="str">
        <v xml:space="preserve">ZAIDA VICUÑA </v>
      </c>
      <c r="AB47" t="str">
        <v xml:space="preserve">ASISTENTE DE COMISARIA </v>
      </c>
    </row>
    <row r="48">
      <c r="A48" t="str">
        <v>DKZ85087542</v>
      </c>
      <c r="B48" t="str">
        <v>27-03-2024 12:48 PM</v>
      </c>
      <c r="C48">
        <f>HYPERLINK("https://www.google.com/maps/place/-2.6476544%2C-78.5645568", "-2.6476544,-78.5645568")</f>
      </c>
      <c r="D48" t="str">
        <v>SANTIAGO DE MENDEZ</v>
      </c>
      <c r="E48" t="str">
        <v>MENDEZ</v>
      </c>
      <c r="F48" t="str">
        <v>OTROS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SILLA</v>
      </c>
      <c r="W48" t="str">
        <v>300100280007SMC0708</v>
      </c>
      <c r="X48" t="str">
        <v>BUENO</v>
      </c>
      <c r="Y48" t="str">
        <v/>
      </c>
      <c r="Z48">
        <f>HYPERLINK("https://informaticpark.clappia.com/app/PAR478947/submission/DKZ85087542/INF070022-PAR478947-24ac57h6n74bg0000000/WhatsApp%20Image%202024-03-27%20at%2012.16.55.jpeg", "WhatsApp Image 2024-03-27 at 12.16.55.jpeg")</f>
      </c>
      <c r="AA48" t="str">
        <v xml:space="preserve">ZAIDA VICUÑA </v>
      </c>
      <c r="AB48" t="str">
        <v xml:space="preserve">ASISTENTE DE COMISARIA </v>
      </c>
    </row>
    <row r="49">
      <c r="A49" t="str">
        <v>DKZ85087542</v>
      </c>
      <c r="B49" t="str">
        <v>27-03-2024 12:48 PM</v>
      </c>
      <c r="C49">
        <f>HYPERLINK("https://www.google.com/maps/place/-2.6476544%2C-78.5645568", "-2.6476544,-78.5645568")</f>
      </c>
      <c r="D49" t="str">
        <v>SANTIAGO DE MENDEZ</v>
      </c>
      <c r="E49" t="str">
        <v>MENDEZ</v>
      </c>
      <c r="F49" t="str">
        <v>OTROS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SILLA</v>
      </c>
      <c r="W49" t="str">
        <v>300100280007SMC0703</v>
      </c>
      <c r="X49" t="str">
        <v>BUENO</v>
      </c>
      <c r="Y49" t="str">
        <v/>
      </c>
      <c r="Z49">
        <f>HYPERLINK("https://informaticpark.clappia.com/app/PAR478947/submission/DKZ85087542/INF070022-PAR478947-ecomohhc0l3m0000000/WhatsApp%20Image%202024-03-27%20at%2012.16.55.jpeg", "WhatsApp Image 2024-03-27 at 12.16.55.jpeg")</f>
      </c>
      <c r="AA49" t="str">
        <v xml:space="preserve">ZAIDA VICUÑA </v>
      </c>
      <c r="AB49" t="str">
        <v xml:space="preserve">ASISTENTE DE COMISARIA </v>
      </c>
    </row>
    <row r="50">
      <c r="A50" t="str">
        <v>DKZ85087542</v>
      </c>
      <c r="B50" t="str">
        <v>27-03-2024 12:48 PM</v>
      </c>
      <c r="C50">
        <f>HYPERLINK("https://www.google.com/maps/place/-2.6476544%2C-78.5645568", "-2.6476544,-78.5645568")</f>
      </c>
      <c r="D50" t="str">
        <v>SANTIAGO DE MENDEZ</v>
      </c>
      <c r="E50" t="str">
        <v>MENDEZ</v>
      </c>
      <c r="F50" t="str">
        <v>OTROS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CUADRO DE PARED (ESCUDO)</v>
      </c>
      <c r="W50" t="str">
        <v>S/N</v>
      </c>
      <c r="X50" t="str">
        <v>MALO</v>
      </c>
      <c r="Y50" t="str">
        <v>CODIGO DETERIORADO NO SE PUEDE VISUALIZAR</v>
      </c>
      <c r="Z50">
        <f>HYPERLINK("https://informaticpark.clappia.com/app/PAR478947/submission/DKZ85087542/INF070022-PAR478947-12c3g0k51f3e00000000/WhatsApp%20Image%202024-03-27%20at%2012.31.46%20%281%29.jpeg", "WhatsApp Image 2024-03-27 at 12.31.46 (1).jpeg")</f>
      </c>
      <c r="AA50" t="str">
        <v xml:space="preserve">ZAIDA VICUÑA </v>
      </c>
      <c r="AB50" t="str">
        <v xml:space="preserve">ASISTENTE DE COMISARIA </v>
      </c>
    </row>
    <row r="51">
      <c r="A51" t="str">
        <v>DKZ85087542</v>
      </c>
      <c r="B51" t="str">
        <v>27-03-2024 12:48 PM</v>
      </c>
      <c r="C51">
        <f>HYPERLINK("https://www.google.com/maps/place/-2.6476544%2C-78.5645568", "-2.6476544,-78.5645568")</f>
      </c>
      <c r="D51" t="str">
        <v>SANTIAGO DE MENDEZ</v>
      </c>
      <c r="E51" t="str">
        <v>MENDEZ</v>
      </c>
      <c r="F51" t="str">
        <v>OTROS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CUADRO CON VIDRIO (ESCUDO)</v>
      </c>
      <c r="W51" t="str">
        <v>S/N</v>
      </c>
      <c r="X51" t="str">
        <v>BUENO</v>
      </c>
      <c r="Y51" t="str">
        <v xml:space="preserve">NO TIENE CODIGO </v>
      </c>
      <c r="Z51">
        <f>HYPERLINK("https://informaticpark.clappia.com/app/PAR478947/submission/DKZ85087542/INF070022-PAR478947-3k3ll8kk6ccg00000000/WhatsApp%20Image%202024-03-27%20at%2012.31.46.jpeg", "WhatsApp Image 2024-03-27 at 12.31.46.jpeg")</f>
      </c>
      <c r="AA51" t="str">
        <v xml:space="preserve">ZAIDA VICUÑA </v>
      </c>
      <c r="AB51" t="str">
        <v xml:space="preserve">ASISTENTE DE COMISARIA </v>
      </c>
    </row>
    <row r="52">
      <c r="A52" t="str">
        <v>DKZ85087542</v>
      </c>
      <c r="B52" t="str">
        <v>27-03-2024 12:48 PM</v>
      </c>
      <c r="C52">
        <f>HYPERLINK("https://www.google.com/maps/place/-2.6476544%2C-78.5645568", "-2.6476544,-78.5645568")</f>
      </c>
      <c r="D52" t="str">
        <v>SANTIAGO DE MENDEZ</v>
      </c>
      <c r="E52" t="str">
        <v>MENDEZ</v>
      </c>
      <c r="F52" t="str">
        <v>OTROS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BASURERO PLASTICO</v>
      </c>
      <c r="W52" t="str">
        <v>S/N</v>
      </c>
      <c r="X52" t="str">
        <v>MALO</v>
      </c>
      <c r="Y52" t="str">
        <v xml:space="preserve">ROTO </v>
      </c>
      <c r="Z52">
        <f>HYPERLINK("https://informaticpark.clappia.com/app/PAR478947/submission/DKZ85087542/INF070022-PAR478947-91io2lomgc840000000/WhatsApp%20Image%202024-03-27%20at%2012.33.07.jpeg", "WhatsApp Image 2024-03-27 at 12.33.07.jpeg")</f>
      </c>
      <c r="AA52" t="str">
        <v xml:space="preserve">ZAIDA VICUÑA </v>
      </c>
      <c r="AB52" t="str">
        <v xml:space="preserve">ASISTENTE DE COMISARIA </v>
      </c>
    </row>
    <row r="53">
      <c r="A53" t="str">
        <v>DKZ85087542</v>
      </c>
      <c r="B53" t="str">
        <v>27-03-2024 12:48 PM</v>
      </c>
      <c r="C53">
        <f>HYPERLINK("https://www.google.com/maps/place/-2.6476544%2C-78.5645568", "-2.6476544,-78.5645568")</f>
      </c>
      <c r="D53" t="str">
        <v>SANTIAGO DE MENDEZ</v>
      </c>
      <c r="E53" t="str">
        <v>MENDEZ</v>
      </c>
      <c r="F53" t="str">
        <v>OTROS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 xml:space="preserve">BASURERO PLASTICO </v>
      </c>
      <c r="W53" t="str">
        <v>170340030004SMC0201</v>
      </c>
      <c r="X53" t="str">
        <v>BUENO</v>
      </c>
      <c r="Y53" t="str">
        <v/>
      </c>
      <c r="Z53">
        <f>HYPERLINK("https://informaticpark.clappia.com/app/PAR478947/submission/DKZ85087542/INF070022-PAR478947-4fjdbc9c7n8e00000000/WhatsApp%20Image%202024-03-27%20at%2012.39.51.jpeg", "WhatsApp Image 2024-03-27 at 12.39.51.jpeg")</f>
      </c>
      <c r="AA53" t="str">
        <v xml:space="preserve">ZAIDA VICUÑA </v>
      </c>
      <c r="AB53" t="str">
        <v xml:space="preserve">ASISTENTE DE COMISARIA </v>
      </c>
    </row>
    <row r="54">
      <c r="A54" t="str">
        <v>DKZ85087542</v>
      </c>
      <c r="B54" t="str">
        <v>27-03-2024 12:48 PM</v>
      </c>
      <c r="C54">
        <f>HYPERLINK("https://www.google.com/maps/place/-2.6476544%2C-78.5645568", "-2.6476544,-78.5645568")</f>
      </c>
      <c r="D54" t="str">
        <v>SANTIAGO DE MENDEZ</v>
      </c>
      <c r="E54" t="str">
        <v>MENDEZ</v>
      </c>
      <c r="F54" t="str">
        <v>OTROS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 xml:space="preserve">SILLA </v>
      </c>
      <c r="W54" t="str">
        <v>300100280007SMC0704</v>
      </c>
      <c r="X54" t="str">
        <v>BUENO</v>
      </c>
      <c r="Y54" t="str">
        <v/>
      </c>
      <c r="Z54">
        <f>HYPERLINK("https://informaticpark.clappia.com/app/PAR478947/submission/DKZ85087542/INF070022-PAR478947-27nealgcc4ii40000000/WhatsApp%20Image%202024-03-27%20at%2012.16.55.jpeg", "WhatsApp Image 2024-03-27 at 12.16.55.jpeg")</f>
      </c>
      <c r="AA54" t="str">
        <v xml:space="preserve">ZAIDA VICUÑA </v>
      </c>
      <c r="AB54" t="str">
        <v xml:space="preserve">ASISTENTE DE COMISARIA </v>
      </c>
    </row>
    <row r="55">
      <c r="A55" t="str">
        <v>BKA71040129</v>
      </c>
      <c r="B55" t="str">
        <v>27-03-2024 12:47 PM</v>
      </c>
      <c r="C55">
        <f>HYPERLINK("https://www.google.com/maps/place/-3.4051154%2C-78.5791242", "-3.4051154,-78.5791242")</f>
      </c>
      <c r="D55" t="str">
        <v>GUALAQUIZA</v>
      </c>
      <c r="E55" t="str">
        <v>GUALAQUIZA</v>
      </c>
      <c r="F55" t="str">
        <v>COMPUTADOR</v>
      </c>
      <c r="G55" t="str">
        <v>REGULAR</v>
      </c>
      <c r="H55" t="str">
        <v>V88DH9NSC00822Z</v>
      </c>
      <c r="I55" t="str">
        <v>MOUSE, MONITOR, TECLADO, PARLANTE</v>
      </c>
      <c r="J55" t="str">
        <v>MICROFONO, WEBCAM</v>
      </c>
      <c r="K55" t="str">
        <v>TAMBIEN HAY UN CPU EN MALAS CONDICIONES, TODO ESTO SE ENCUENTRAN EN MALAS CONDICIONES.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ANTONIO DOMINGO NAIKIAI JINTIACH</v>
      </c>
      <c r="AB55" t="str">
        <v>SERVIDOR PUBLICO DE APOYO 2 DE LA COMISARIA NACIONAL DE POLICIA DEL CANTON GUALAQUIZA. ENCARGADO.</v>
      </c>
    </row>
    <row r="56">
      <c r="A56" t="str">
        <v>ZEY59153356</v>
      </c>
      <c r="B56" t="str">
        <v>27-03-2024 12:11 PM</v>
      </c>
      <c r="C56">
        <f>HYPERLINK("https://www.google.com/maps/place/-2.7705816%2C-78.2805818", "-2.7705816,-78.2805818")</f>
      </c>
      <c r="D56" t="str">
        <v>SANTIAGO DE MENDEZ</v>
      </c>
      <c r="E56" t="str">
        <v>SAN LUIS DE ACHO</v>
      </c>
      <c r="F56" t="str">
        <v>OTROS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parlante</v>
      </c>
      <c r="W56" t="str">
        <v>700100060002,500401/ 300100130009SM0401</v>
      </c>
      <c r="X56" t="str">
        <v>REGULAR</v>
      </c>
      <c r="Y56" t="str">
        <v xml:space="preserve">Se requiere equipos informáticos ya que no se cuenta en la tenencia politica de la parroquia San Luis de el Acho </v>
      </c>
      <c r="Z56">
        <f>HYPERLINK("https://informaticpark.clappia.com/app/PAR478947/submission/ZEY59153356/INF070022-PAR478947-1l3mo04am4dla000000/IMG-20240327_12081a1fc2.jpeg", "IMG-20240327_12081a1fc2.jpeg")</f>
      </c>
      <c r="AA56" t="str">
        <v xml:space="preserve">Elsie Ledesma </v>
      </c>
      <c r="AB56" t="str">
        <v xml:space="preserve">Teniente político San Luis de el Acho </v>
      </c>
    </row>
    <row r="57">
      <c r="A57" t="str">
        <v>LWL20050340</v>
      </c>
      <c r="B57" t="str">
        <v>27-03-2024 11:58 AM</v>
      </c>
      <c r="C57">
        <f>HYPERLINK("https://www.google.com/maps/place/-2.7346279%2C-78.4073756", "-2.7346279,-78.4073756")</f>
      </c>
      <c r="D57" t="str">
        <v>SANTIAGO DE MENDEZ</v>
      </c>
      <c r="E57" t="str">
        <v>COPAL</v>
      </c>
      <c r="F57" t="str">
        <v>COMPUTADOR</v>
      </c>
      <c r="G57" t="str">
        <v xml:space="preserve">MALO </v>
      </c>
      <c r="H57" t="str">
        <v>700100130001SM0801</v>
      </c>
      <c r="I57" t="str">
        <v>MOUSE, MONITOR, TECLADO</v>
      </c>
      <c r="J57" t="str">
        <v>PARLANTE, MICROFONO, WEBCAM</v>
      </c>
      <c r="K57" t="str">
        <v xml:space="preserve">NO SE PRENDE 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 xml:space="preserve">EVELYN LIZBETH SALAZAR PIÑA </v>
      </c>
      <c r="AB57" t="str">
        <v xml:space="preserve">TENIENTE POLÍTICO COPAL </v>
      </c>
    </row>
    <row r="58">
      <c r="A58" t="str">
        <v>WAA03467161</v>
      </c>
      <c r="B58" t="str">
        <v>27-03-2024 11:15 AM</v>
      </c>
      <c r="C58">
        <f>HYPERLINK("https://www.google.com/maps/place/-2.7623424%2C-78.3286272", "-2.7623424,-78.3286272")</f>
      </c>
      <c r="D58" t="str">
        <v>SANTIAGO DE MENDEZ</v>
      </c>
      <c r="E58" t="str">
        <v>PATUCA</v>
      </c>
      <c r="F58" t="str">
        <v>IMPRESORA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 xml:space="preserve">MALO </v>
      </c>
      <c r="R58" t="str">
        <v>SERIE Z2TSBABB400099L</v>
      </c>
      <c r="S58" t="str">
        <v>CABLE DE CORRIENTE</v>
      </c>
      <c r="T58" t="str">
        <v>ESCANER, CARTUCHOS, TONER</v>
      </c>
      <c r="U58" t="str">
        <v>ESTA EN REGULAR ESTADO Y NO CUENTA CON TONER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 xml:space="preserve">CABRERA MOSCOSO RENELDA HERMENCIA </v>
      </c>
      <c r="AB58" t="str">
        <v>SERVIDOR PUBLICO DE APOYO 2</v>
      </c>
    </row>
    <row r="59">
      <c r="A59" t="str">
        <v>WAA03467161</v>
      </c>
      <c r="B59" t="str">
        <v>27-03-2024 11:15 AM</v>
      </c>
      <c r="C59">
        <f>HYPERLINK("https://www.google.com/maps/place/-2.7623424%2C-78.3286272", "-2.7623424,-78.3286272")</f>
      </c>
      <c r="D59" t="str">
        <v>SANTIAGO DE MENDEZ</v>
      </c>
      <c r="E59" t="str">
        <v>PATUCA</v>
      </c>
      <c r="F59" t="str">
        <v>IMPRESORA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 xml:space="preserve">MALO </v>
      </c>
      <c r="R59" t="str">
        <v>QC46529BB0101</v>
      </c>
      <c r="S59" t="str">
        <v>NO APLICA</v>
      </c>
      <c r="T59" t="str">
        <v>CABLE DE CORRIENTE, ESCANER, CARTUCHOS, TONER</v>
      </c>
      <c r="U59" t="str">
        <v>SE LLEVO A LA GOBERNACIÓN SIN NINGUNA  ACTA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 xml:space="preserve">CABRERA MOSCOSO RENELDA HERMENCIA </v>
      </c>
      <c r="AB59" t="str">
        <v>SERVIDOR PUBLICO DE APOYO 2</v>
      </c>
    </row>
    <row r="60">
      <c r="A60" t="str">
        <v>WAA03467161</v>
      </c>
      <c r="B60" t="str">
        <v>27-03-2024 11:15 AM</v>
      </c>
      <c r="C60">
        <f>HYPERLINK("https://www.google.com/maps/place/-2.7623424%2C-78.3286272", "-2.7623424,-78.3286272")</f>
      </c>
      <c r="D60" t="str">
        <v>SANTIAGO DE MENDEZ</v>
      </c>
      <c r="E60" t="str">
        <v>PATUCA</v>
      </c>
      <c r="F60" t="str">
        <v>COMPUTADOR</v>
      </c>
      <c r="G60" t="str">
        <v xml:space="preserve">MALO </v>
      </c>
      <c r="H60" t="str">
        <v>3CQ9505JJ2</v>
      </c>
      <c r="I60" t="str">
        <v>MOUSE, MONITOR, TECLADO</v>
      </c>
      <c r="J60" t="str">
        <v>PARLANTE, MICROFONO, WEBCAM</v>
      </c>
      <c r="K60" t="str">
        <v>SE ENCUENTRA EN MAL ESTADO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 xml:space="preserve">CABRERA MOSCOSO RENELDA HERMENCIA </v>
      </c>
      <c r="AB60" t="str">
        <v>SERVIDOR PUBLICO DE APOYO 2</v>
      </c>
    </row>
    <row r="61">
      <c r="A61" t="str">
        <v>WAA03467161</v>
      </c>
      <c r="B61" t="str">
        <v>27-03-2024 11:15 AM</v>
      </c>
      <c r="C61">
        <f>HYPERLINK("https://www.google.com/maps/place/-2.7623424%2C-78.3286272", "-2.7623424,-78.3286272")</f>
      </c>
      <c r="D61" t="str">
        <v>SANTIAGO DE MENDEZ</v>
      </c>
      <c r="E61" t="str">
        <v>PATUCA</v>
      </c>
      <c r="F61" t="str">
        <v>COMPUTADOR</v>
      </c>
      <c r="G61" t="str">
        <v xml:space="preserve">MALO </v>
      </c>
      <c r="H61" t="str">
        <v>36786BA180051</v>
      </c>
      <c r="I61" t="str">
        <v>NO APLICA</v>
      </c>
      <c r="J61" t="str">
        <v>MOUSE, TECLADO, MONITOR, PARLANTE, MICROFONO, WEBCAM, CPU</v>
      </c>
      <c r="K61" t="str">
        <v>ESTA EN COMPLETO MAL ESTADO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 xml:space="preserve">CABRERA MOSCOSO RENELDA HERMENCIA </v>
      </c>
      <c r="AB61" t="str">
        <v>SERVIDOR PUBLICO DE APOYO 2</v>
      </c>
    </row>
    <row r="62">
      <c r="A62" t="str">
        <v>TLZ59660555</v>
      </c>
      <c r="B62" t="str">
        <v>27-03-2024 11:09 AM</v>
      </c>
      <c r="C62">
        <f>HYPERLINK("https://www.google.com/maps/place/-2.6476544%2C-78.5645568", "-2.6476544,-78.5645568")</f>
      </c>
      <c r="D62" t="str">
        <v>SANTIAGO DE MENDEZ</v>
      </c>
      <c r="E62" t="str">
        <v>MENDEZ</v>
      </c>
      <c r="F62" t="str">
        <v>COMPUTADOR</v>
      </c>
      <c r="G62" t="str">
        <v>REGULAR</v>
      </c>
      <c r="H62" t="str">
        <v>T79CMEEP1KHPNNE</v>
      </c>
      <c r="I62" t="str">
        <v>MOUSE, MONITOR, TECLADO</v>
      </c>
      <c r="J62" t="str">
        <v>PARLANTE, MICROFONO, WEBCAM</v>
      </c>
      <c r="K62" t="str">
        <v>COMPUTADORA ANTIGUA CON LA PANTALLA DE COLOR AZÚL MISMA QUE ES MUY LENTA A PESR DE QUE NO CONTIENE MUCHA INFORMACION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NATALIA AMON</v>
      </c>
      <c r="AB62" t="str">
        <v>JEFE POLITICO</v>
      </c>
    </row>
    <row r="63">
      <c r="A63" t="str">
        <v>TLZ59660555</v>
      </c>
      <c r="B63" t="str">
        <v>27-03-2024 11:09 AM</v>
      </c>
      <c r="C63">
        <f>HYPERLINK("https://www.google.com/maps/place/-2.6476544%2C-78.5645568", "-2.6476544,-78.5645568")</f>
      </c>
      <c r="D63" t="str">
        <v>SANTIAGO DE MENDEZ</v>
      </c>
      <c r="E63" t="str">
        <v>MENDEZ</v>
      </c>
      <c r="F63" t="str">
        <v>IMPRESORA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REGULAR</v>
      </c>
      <c r="R63" t="str">
        <v>05000140000-7593268</v>
      </c>
      <c r="S63" t="str">
        <v>CABLE DE CORRIENTE, CARTUCHOS</v>
      </c>
      <c r="T63" t="str">
        <v>ESCANER</v>
      </c>
      <c r="U63" t="str">
        <v>IMPRESORA EN MAL ESTADO YA QUE POR MINIMO MOVIMIENTO DEJA DE FUNCIONAR Y SOLO IMPRIME UNA CARA EN LA HOJA YA QUE ES UNA IMPRESORA SIMPLE POR ELLO SE REQUIERE DE UNA MAS COMPLETA Y EN BUEN ESTADO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NATALIA AMON</v>
      </c>
      <c r="AB63" t="str">
        <v>JEFE POLITICO</v>
      </c>
    </row>
    <row r="64">
      <c r="A64" t="str">
        <v>TLZ59660555</v>
      </c>
      <c r="B64" t="str">
        <v>27-03-2024 11:09 AM</v>
      </c>
      <c r="C64">
        <f>HYPERLINK("https://www.google.com/maps/place/-2.6476544%2C-78.5645568", "-2.6476544,-78.5645568")</f>
      </c>
      <c r="D64" t="str">
        <v>SANTIAGO DE MENDEZ</v>
      </c>
      <c r="E64" t="str">
        <v>MENDEZ</v>
      </c>
      <c r="F64" t="str">
        <v>OTROS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MUEBLES DE OFICINA/ARCHIVADOR/METALICO</v>
      </c>
      <c r="W64" t="str">
        <v>05000140000-26148807</v>
      </c>
      <c r="X64" t="str">
        <v>REGULAR</v>
      </c>
      <c r="Y64" t="str">
        <v xml:space="preserve">MUEBLE NO TIENE LLAVE DE SEGURIDAD </v>
      </c>
      <c r="Z64">
        <f>HYPERLINK("https://informaticpark.clappia.com/app/PAR478947/submission/TLZ59660555/INF070022-PAR478947-20mg7d8pkdljm0000000/MUEBLE.jpeg", "MUEBLE.jpeg")</f>
      </c>
      <c r="AA64" t="str">
        <v>NATALIA AMON</v>
      </c>
      <c r="AB64" t="str">
        <v>JEFE POLITICO</v>
      </c>
    </row>
    <row r="65">
      <c r="A65" t="str">
        <v>TLZ59660555</v>
      </c>
      <c r="B65" t="str">
        <v>27-03-2024 11:09 AM</v>
      </c>
      <c r="C65">
        <f>HYPERLINK("https://www.google.com/maps/place/-2.6476544%2C-78.5645568", "-2.6476544,-78.5645568")</f>
      </c>
      <c r="D65" t="str">
        <v>SANTIAGO DE MENDEZ</v>
      </c>
      <c r="E65" t="str">
        <v>MENDEZ</v>
      </c>
      <c r="F65" t="str">
        <v>OTROS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CPU</v>
      </c>
      <c r="W65" t="str">
        <v>050001400007593226</v>
      </c>
      <c r="X65" t="str">
        <v>REGULAR</v>
      </c>
      <c r="Y65" t="str">
        <v xml:space="preserve">EL EQUIPO ES LENTO PARA ENCENDER </v>
      </c>
      <c r="Z65">
        <f>HYPERLINK("https://informaticpark.clappia.com/app/PAR478947/submission/TLZ59660555/INF070022-PAR478947-8nfobpi8km0g0000000/WhatsApp%20Image%202024-03-27%20at%2009.53.30.jpeg", "WhatsApp Image 2024-03-27 at 09.53.30.jpeg")</f>
      </c>
      <c r="AA65" t="str">
        <v>NATALIA AMON</v>
      </c>
      <c r="AB65" t="str">
        <v>JEFE POLITICO</v>
      </c>
    </row>
    <row r="66">
      <c r="A66" t="str">
        <v>TLZ59660555</v>
      </c>
      <c r="B66" t="str">
        <v>27-03-2024 11:09 AM</v>
      </c>
      <c r="C66">
        <f>HYPERLINK("https://www.google.com/maps/place/-2.6476544%2C-78.5645568", "-2.6476544,-78.5645568")</f>
      </c>
      <c r="D66" t="str">
        <v>SANTIAGO DE MENDEZ</v>
      </c>
      <c r="E66" t="str">
        <v>MENDEZ</v>
      </c>
      <c r="F66" t="str">
        <v>OTROS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ESCRITORIO</v>
      </c>
      <c r="W66" t="str">
        <v>05000140000-26148805</v>
      </c>
      <c r="X66" t="str">
        <v>REGULAR</v>
      </c>
      <c r="Y66" t="str">
        <v xml:space="preserve">LOS FILOS DEL ASIENTO DEL MUEBLES SE ENCUENTRA LEVANTADO </v>
      </c>
      <c r="Z66">
        <f>HYPERLINK("https://informaticpark.clappia.com/app/PAR478947/submission/TLZ59660555/INF070022-PAR478947-5fj9kgjee15i00000000/WhatsApp%20Image%202024-03-27%20at%2009.53.33%20%281%29.jpeg", "WhatsApp Image 2024-03-27 at 09.53.33 (1).jpeg")</f>
      </c>
      <c r="AA66" t="str">
        <v>NATALIA AMON</v>
      </c>
      <c r="AB66" t="str">
        <v>JEFE POLITICO</v>
      </c>
    </row>
    <row r="67">
      <c r="A67" t="str">
        <v>TLZ59660555</v>
      </c>
      <c r="B67" t="str">
        <v>27-03-2024 11:09 AM</v>
      </c>
      <c r="C67">
        <f>HYPERLINK("https://www.google.com/maps/place/-2.6476544%2C-78.5645568", "-2.6476544,-78.5645568")</f>
      </c>
      <c r="D67" t="str">
        <v>SANTIAGO DE MENDEZ</v>
      </c>
      <c r="E67" t="str">
        <v>MENDEZ</v>
      </c>
      <c r="F67" t="str">
        <v>OTROS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ESCRITORIO</v>
      </c>
      <c r="W67" t="str">
        <v>300100160002SM0101</v>
      </c>
      <c r="X67" t="str">
        <v>BUENO</v>
      </c>
      <c r="Y67" t="str">
        <v>EN BUEN ESTADO</v>
      </c>
      <c r="Z67">
        <f>HYPERLINK("https://informaticpark.clappia.com/app/PAR478947/submission/TLZ59660555/INF070022-PAR478947-anl6cjfp5f2o0000000/WhatsApp%20Image%202024-03-27%20at%2009.53.33.jpeg", "WhatsApp Image 2024-03-27 at 09.53.33.jpeg")</f>
      </c>
      <c r="AA67" t="str">
        <v>NATALIA AMON</v>
      </c>
      <c r="AB67" t="str">
        <v>JEFE POLITICO</v>
      </c>
    </row>
    <row r="68">
      <c r="A68" t="str">
        <v>TLZ59660555</v>
      </c>
      <c r="B68" t="str">
        <v>27-03-2024 11:09 AM</v>
      </c>
      <c r="C68">
        <f>HYPERLINK("https://www.google.com/maps/place/-2.6476544%2C-78.5645568", "-2.6476544,-78.5645568")</f>
      </c>
      <c r="D68" t="str">
        <v>SANTIAGO DE MENDEZ</v>
      </c>
      <c r="E68" t="str">
        <v>MENDEZ</v>
      </c>
      <c r="F68" t="str">
        <v>LAPTOP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BUENO</v>
      </c>
      <c r="M68" t="str">
        <v>S/N</v>
      </c>
      <c r="N68" t="str">
        <v>PANTALLA, PANEL TACTIL, TECLADO, WEBCAM</v>
      </c>
      <c r="O68" t="str">
        <v>PARLANTE, MICROFONO</v>
      </c>
      <c r="P68" t="str">
        <v xml:space="preserve">LAPTON NO CONTIENE CODIGO YA QUE HA SIDO UNA DONACION POR PARTE DE UNA EMPRESA PRIVADA PARA LA JEFATURA POLITICA 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NATALIA AMON</v>
      </c>
      <c r="AB68" t="str">
        <v>JEFE POLITICO</v>
      </c>
    </row>
    <row r="69">
      <c r="A69" t="str">
        <v>TLZ59660555</v>
      </c>
      <c r="B69" t="str">
        <v>27-03-2024 11:09 AM</v>
      </c>
      <c r="C69">
        <f>HYPERLINK("https://www.google.com/maps/place/-2.6476544%2C-78.5645568", "-2.6476544,-78.5645568")</f>
      </c>
      <c r="D69" t="str">
        <v>SANTIAGO DE MENDEZ</v>
      </c>
      <c r="E69" t="str">
        <v>MENDEZ</v>
      </c>
      <c r="F69" t="str">
        <v>OTROS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ESCRITORIO</v>
      </c>
      <c r="W69" t="str">
        <v>3001001300025M0101</v>
      </c>
      <c r="X69" t="str">
        <v>BUENO</v>
      </c>
      <c r="Y69" t="str">
        <v xml:space="preserve">EN BUEN ESTADO </v>
      </c>
      <c r="Z69">
        <f>HYPERLINK("https://informaticpark.clappia.com/app/PAR478947/submission/TLZ59660555/INF070022-PAR478947-1ca4ijhchge6c0000000/WhatsApp%20Image%202024-03-27%20at%2009.53.32.jpeg", "WhatsApp Image 2024-03-27 at 09.53.32.jpeg")</f>
      </c>
      <c r="AA69" t="str">
        <v>NATALIA AMON</v>
      </c>
      <c r="AB69" t="str">
        <v>JEFE POLITICO</v>
      </c>
    </row>
    <row r="70">
      <c r="A70" t="str">
        <v>TLZ59660555</v>
      </c>
      <c r="B70" t="str">
        <v>27-03-2024 11:09 AM</v>
      </c>
      <c r="C70">
        <f>HYPERLINK("https://www.google.com/maps/place/-2.6476544%2C-78.5645568", "-2.6476544,-78.5645568")</f>
      </c>
      <c r="D70" t="str">
        <v>SANTIAGO DE MENDEZ</v>
      </c>
      <c r="E70" t="str">
        <v>MENDEZ</v>
      </c>
      <c r="F70" t="str">
        <v>OTROS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TELEFONO</v>
      </c>
      <c r="W70" t="str">
        <v>400100180001SM0101</v>
      </c>
      <c r="X70" t="str">
        <v>MALO</v>
      </c>
      <c r="Y70" t="str">
        <v xml:space="preserve">NO FUNCIONA </v>
      </c>
      <c r="Z70">
        <f>HYPERLINK("https://informaticpark.clappia.com/app/PAR478947/submission/TLZ59660555/INF070022-PAR478947-3gml5nobl99g00000000/WhatsApp%20Image%202024-03-27%20at%2010.31.30.jpeg", "WhatsApp Image 2024-03-27 at 10.31.30.jpeg")</f>
      </c>
      <c r="AA70" t="str">
        <v>NATALIA AMON</v>
      </c>
      <c r="AB70" t="str">
        <v>JEFE POLITICO</v>
      </c>
    </row>
    <row r="71">
      <c r="A71" t="str">
        <v>TLZ59660555</v>
      </c>
      <c r="B71" t="str">
        <v>27-03-2024 11:09 AM</v>
      </c>
      <c r="C71">
        <f>HYPERLINK("https://www.google.com/maps/place/-2.6476544%2C-78.5645568", "-2.6476544,-78.5645568")</f>
      </c>
      <c r="D71" t="str">
        <v>SANTIAGO DE MENDEZ</v>
      </c>
      <c r="E71" t="str">
        <v>MENDEZ</v>
      </c>
      <c r="F71" t="str">
        <v>OTROS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SILLA NEGRA</v>
      </c>
      <c r="W71" t="str">
        <v>300100280007SM0702</v>
      </c>
      <c r="X71" t="str">
        <v>BUENO</v>
      </c>
      <c r="Y71" t="str">
        <v/>
      </c>
      <c r="Z71">
        <f>HYPERLINK("https://informaticpark.clappia.com/app/PAR478947/submission/TLZ59660555/INF070022-PAR478947-3a8jigkc1lik00000000/WhatsApp%20Image%202024-03-27%20at%2010.39.33.jpeg", "WhatsApp Image 2024-03-27 at 10.39.33.jpeg")</f>
      </c>
      <c r="AA71" t="str">
        <v>NATALIA AMON</v>
      </c>
      <c r="AB71" t="str">
        <v>JEFE POLITICO</v>
      </c>
    </row>
    <row r="72">
      <c r="A72" t="str">
        <v>TLZ59660555</v>
      </c>
      <c r="B72" t="str">
        <v>27-03-2024 11:09 AM</v>
      </c>
      <c r="C72">
        <f>HYPERLINK("https://www.google.com/maps/place/-2.6476544%2C-78.5645568", "-2.6476544,-78.5645568")</f>
      </c>
      <c r="D72" t="str">
        <v>SANTIAGO DE MENDEZ</v>
      </c>
      <c r="E72" t="str">
        <v>MENDEZ</v>
      </c>
      <c r="F72" t="str">
        <v>OTROS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SILLA NEGRA</v>
      </c>
      <c r="W72" t="str">
        <v>300100280007SM0707</v>
      </c>
      <c r="X72" t="str">
        <v>BUENO</v>
      </c>
      <c r="Y72" t="str">
        <v/>
      </c>
      <c r="Z72">
        <f>HYPERLINK("https://informaticpark.clappia.com/app/PAR478947/submission/TLZ59660555/INF070022-PAR478947-4pch6g0acp2a00000000/WhatsApp%20Image%202024-03-27%20at%2010.39.33.jpeg", "WhatsApp Image 2024-03-27 at 10.39.33.jpeg")</f>
      </c>
      <c r="AA72" t="str">
        <v>NATALIA AMON</v>
      </c>
      <c r="AB72" t="str">
        <v>JEFE POLITICO</v>
      </c>
    </row>
    <row r="73">
      <c r="A73" t="str">
        <v>TLZ59660555</v>
      </c>
      <c r="B73" t="str">
        <v>27-03-2024 11:09 AM</v>
      </c>
      <c r="C73">
        <f>HYPERLINK("https://www.google.com/maps/place/-2.6476544%2C-78.5645568", "-2.6476544,-78.5645568")</f>
      </c>
      <c r="D73" t="str">
        <v>SANTIAGO DE MENDEZ</v>
      </c>
      <c r="E73" t="str">
        <v>MENDEZ</v>
      </c>
      <c r="F73" t="str">
        <v>OTROS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SILLA NEGRA</v>
      </c>
      <c r="W73" t="str">
        <v>300100280007SM0704</v>
      </c>
      <c r="X73" t="str">
        <v>BUENO</v>
      </c>
      <c r="Y73" t="str">
        <v/>
      </c>
      <c r="Z73">
        <f>HYPERLINK("https://informaticpark.clappia.com/app/PAR478947/submission/TLZ59660555/INF070022-PAR478947-30fljb085phi00000000/WhatsApp%20Image%202024-03-27%20at%2010.39.33.jpeg", "WhatsApp Image 2024-03-27 at 10.39.33.jpeg")</f>
      </c>
      <c r="AA73" t="str">
        <v>NATALIA AMON</v>
      </c>
      <c r="AB73" t="str">
        <v>JEFE POLITICO</v>
      </c>
    </row>
    <row r="74">
      <c r="A74" t="str">
        <v>TLZ59660555</v>
      </c>
      <c r="B74" t="str">
        <v>27-03-2024 11:09 AM</v>
      </c>
      <c r="C74">
        <f>HYPERLINK("https://www.google.com/maps/place/-2.6476544%2C-78.5645568", "-2.6476544,-78.5645568")</f>
      </c>
      <c r="D74" t="str">
        <v>SANTIAGO DE MENDEZ</v>
      </c>
      <c r="E74" t="str">
        <v>MENDEZ</v>
      </c>
      <c r="F74" t="str">
        <v>OTROS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SILLA NEGRA</v>
      </c>
      <c r="W74" t="str">
        <v>300100280007SM0703</v>
      </c>
      <c r="X74" t="str">
        <v>BUENO</v>
      </c>
      <c r="Y74" t="str">
        <v/>
      </c>
      <c r="Z74">
        <f>HYPERLINK("https://informaticpark.clappia.com/app/PAR478947/submission/TLZ59660555/INF070022-PAR478947-4hl57po66mf600000000/WhatsApp%20Image%202024-03-27%20at%2010.39.33.jpeg", "WhatsApp Image 2024-03-27 at 10.39.33.jpeg")</f>
      </c>
      <c r="AA74" t="str">
        <v>NATALIA AMON</v>
      </c>
      <c r="AB74" t="str">
        <v>JEFE POLITICO</v>
      </c>
    </row>
    <row r="75">
      <c r="A75" t="str">
        <v>TLZ59660555</v>
      </c>
      <c r="B75" t="str">
        <v>27-03-2024 11:09 AM</v>
      </c>
      <c r="C75">
        <f>HYPERLINK("https://www.google.com/maps/place/-2.6476544%2C-78.5645568", "-2.6476544,-78.5645568")</f>
      </c>
      <c r="D75" t="str">
        <v>SANTIAGO DE MENDEZ</v>
      </c>
      <c r="E75" t="str">
        <v>MENDEZ</v>
      </c>
      <c r="F75" t="str">
        <v>OTROS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SILLA NEGRA</v>
      </c>
      <c r="W75" t="str">
        <v>300100280007SM0701</v>
      </c>
      <c r="X75" t="str">
        <v>BUENO</v>
      </c>
      <c r="Y75" t="str">
        <v/>
      </c>
      <c r="Z75">
        <f>HYPERLINK("https://informaticpark.clappia.com/app/PAR478947/submission/TLZ59660555/INF070022-PAR478947-5c4m6174ajie00000000/WhatsApp%20Image%202024-03-27%20at%2010.39.33.jpeg", "WhatsApp Image 2024-03-27 at 10.39.33.jpeg")</f>
      </c>
      <c r="AA75" t="str">
        <v>NATALIA AMON</v>
      </c>
      <c r="AB75" t="str">
        <v>JEFE POLITICO</v>
      </c>
    </row>
    <row r="76">
      <c r="A76" t="str">
        <v>TLZ59660555</v>
      </c>
      <c r="B76" t="str">
        <v>27-03-2024 11:09 AM</v>
      </c>
      <c r="C76">
        <f>HYPERLINK("https://www.google.com/maps/place/-2.6476544%2C-78.5645568", "-2.6476544,-78.5645568")</f>
      </c>
      <c r="D76" t="str">
        <v>SANTIAGO DE MENDEZ</v>
      </c>
      <c r="E76" t="str">
        <v>MENDEZ</v>
      </c>
      <c r="F76" t="str">
        <v>OTROS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SILLA NEGRA</v>
      </c>
      <c r="W76" t="str">
        <v>300100280007SM0710</v>
      </c>
      <c r="X76" t="str">
        <v>BUENO</v>
      </c>
      <c r="Y76" t="str">
        <v/>
      </c>
      <c r="Z76">
        <f>HYPERLINK("https://informaticpark.clappia.com/app/PAR478947/submission/TLZ59660555/INF070022-PAR478947-2ciam8ea48d000000000/WhatsApp%20Image%202024-03-27%20at%2010.39.33.jpeg", "WhatsApp Image 2024-03-27 at 10.39.33.jpeg")</f>
      </c>
      <c r="AA76" t="str">
        <v>NATALIA AMON</v>
      </c>
      <c r="AB76" t="str">
        <v>JEFE POLITICO</v>
      </c>
    </row>
    <row r="77">
      <c r="A77" t="str">
        <v>TLZ59660555</v>
      </c>
      <c r="B77" t="str">
        <v>27-03-2024 11:09 AM</v>
      </c>
      <c r="C77">
        <f>HYPERLINK("https://www.google.com/maps/place/-2.6476544%2C-78.5645568", "-2.6476544,-78.5645568")</f>
      </c>
      <c r="D77" t="str">
        <v>SANTIAGO DE MENDEZ</v>
      </c>
      <c r="E77" t="str">
        <v>MENDEZ</v>
      </c>
      <c r="F77" t="str">
        <v>OTROS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SILLA NEGRA</v>
      </c>
      <c r="W77" t="str">
        <v>300100280007SM0709</v>
      </c>
      <c r="X77" t="str">
        <v>BUENO</v>
      </c>
      <c r="Y77" t="str">
        <v/>
      </c>
      <c r="Z77">
        <f>HYPERLINK("https://informaticpark.clappia.com/app/PAR478947/submission/TLZ59660555/INF070022-PAR478947-pc1ejmdaa8bo00000/WhatsApp%20Image%202024-03-27%20at%2010.39.33.jpeg", "WhatsApp Image 2024-03-27 at 10.39.33.jpeg")</f>
      </c>
      <c r="AA77" t="str">
        <v>NATALIA AMON</v>
      </c>
      <c r="AB77" t="str">
        <v>JEFE POLITICO</v>
      </c>
    </row>
    <row r="78">
      <c r="A78" t="str">
        <v>TLZ59660555</v>
      </c>
      <c r="B78" t="str">
        <v>27-03-2024 11:09 AM</v>
      </c>
      <c r="C78">
        <f>HYPERLINK("https://www.google.com/maps/place/-2.6476544%2C-78.5645568", "-2.6476544,-78.5645568")</f>
      </c>
      <c r="D78" t="str">
        <v>SANTIAGO DE MENDEZ</v>
      </c>
      <c r="E78" t="str">
        <v>MENDEZ</v>
      </c>
      <c r="F78" t="str">
        <v>OTROS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SILLA NEGRA</v>
      </c>
      <c r="W78" t="str">
        <v>300100280007SM0706</v>
      </c>
      <c r="X78" t="str">
        <v>BUENO</v>
      </c>
      <c r="Y78" t="str">
        <v/>
      </c>
      <c r="Z78">
        <f>HYPERLINK("https://informaticpark.clappia.com/app/PAR478947/submission/TLZ59660555/INF070022-PAR478947-5co2785hpd6a0000000/WhatsApp%20Image%202024-03-27%20at%2010.39.33.jpeg", "WhatsApp Image 2024-03-27 at 10.39.33.jpeg")</f>
      </c>
      <c r="AA78" t="str">
        <v>NATALIA AMON</v>
      </c>
      <c r="AB78" t="str">
        <v>JEFE POLITICO</v>
      </c>
    </row>
    <row r="79">
      <c r="A79" t="str">
        <v>TLZ59660555</v>
      </c>
      <c r="B79" t="str">
        <v>27-03-2024 11:09 AM</v>
      </c>
      <c r="C79">
        <f>HYPERLINK("https://www.google.com/maps/place/-2.6476544%2C-78.5645568", "-2.6476544,-78.5645568")</f>
      </c>
      <c r="D79" t="str">
        <v>SANTIAGO DE MENDEZ</v>
      </c>
      <c r="E79" t="str">
        <v>MENDEZ</v>
      </c>
      <c r="F79" t="str">
        <v>OTROS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SILLA NEGRA</v>
      </c>
      <c r="W79" t="str">
        <v>300100280007SM0708</v>
      </c>
      <c r="X79" t="str">
        <v>BUENO</v>
      </c>
      <c r="Y79" t="str">
        <v/>
      </c>
      <c r="Z79">
        <f>HYPERLINK("https://informaticpark.clappia.com/app/PAR478947/submission/TLZ59660555/INF070022-PAR478947-60o06287p4gg00000000/WhatsApp%20Image%202024-03-27%20at%2010.39.33.jpeg", "WhatsApp Image 2024-03-27 at 10.39.33.jpeg")</f>
      </c>
      <c r="AA79" t="str">
        <v>NATALIA AMON</v>
      </c>
      <c r="AB79" t="str">
        <v>JEFE POLITICO</v>
      </c>
    </row>
    <row r="80">
      <c r="A80" t="str">
        <v>TLZ59660555</v>
      </c>
      <c r="B80" t="str">
        <v>27-03-2024 11:09 AM</v>
      </c>
      <c r="C80">
        <f>HYPERLINK("https://www.google.com/maps/place/-2.6476544%2C-78.5645568", "-2.6476544,-78.5645568")</f>
      </c>
      <c r="D80" t="str">
        <v>SANTIAGO DE MENDEZ</v>
      </c>
      <c r="E80" t="str">
        <v>MENDEZ</v>
      </c>
      <c r="F80" t="str">
        <v>OTROS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SILLA NEGRA</v>
      </c>
      <c r="W80" t="str">
        <v>|300100280007SM0705</v>
      </c>
      <c r="X80" t="str">
        <v>BUENO</v>
      </c>
      <c r="Y80" t="str">
        <v/>
      </c>
      <c r="Z80">
        <f>HYPERLINK("https://informaticpark.clappia.com/app/PAR478947/submission/TLZ59660555/INF070022-PAR478947-3k67og7aoe7a00000000/WhatsApp%20Image%202024-03-27%20at%2010.39.33.jpeg", "WhatsApp Image 2024-03-27 at 10.39.33.jpeg")</f>
      </c>
      <c r="AA80" t="str">
        <v>NATALIA AMON</v>
      </c>
      <c r="AB80" t="str">
        <v>JEFE POLITICO</v>
      </c>
    </row>
    <row r="81">
      <c r="A81" t="str">
        <v>TLZ59660555</v>
      </c>
      <c r="B81" t="str">
        <v>27-03-2024 11:09 AM</v>
      </c>
      <c r="C81">
        <f>HYPERLINK("https://www.google.com/maps/place/-2.6476544%2C-78.5645568", "-2.6476544,-78.5645568")</f>
      </c>
      <c r="D81" t="str">
        <v>SANTIAGO DE MENDEZ</v>
      </c>
      <c r="E81" t="str">
        <v>MENDEZ</v>
      </c>
      <c r="F81" t="str">
        <v>OTROS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SILLA PLASTICA BLANCA</v>
      </c>
      <c r="W81" t="str">
        <v>300100280007SM02</v>
      </c>
      <c r="X81" t="str">
        <v>BUENO</v>
      </c>
      <c r="Y81" t="str">
        <v/>
      </c>
      <c r="Z81">
        <f>HYPERLINK("https://informaticpark.clappia.com/app/PAR478947/submission/TLZ59660555/INF070022-PAR478947-5hbkl27499o400000000/WhatsApp%20Image%202024-03-27%20at%2010.41.09.jpeg", "WhatsApp Image 2024-03-27 at 10.41.09.jpeg")</f>
      </c>
      <c r="AA81" t="str">
        <v>NATALIA AMON</v>
      </c>
      <c r="AB81" t="str">
        <v>JEFE POLITICO</v>
      </c>
    </row>
    <row r="82">
      <c r="A82" t="str">
        <v>TLZ59660555</v>
      </c>
      <c r="B82" t="str">
        <v>27-03-2024 11:09 AM</v>
      </c>
      <c r="C82">
        <f>HYPERLINK("https://www.google.com/maps/place/-2.6476544%2C-78.5645568", "-2.6476544,-78.5645568")</f>
      </c>
      <c r="D82" t="str">
        <v>SANTIAGO DE MENDEZ</v>
      </c>
      <c r="E82" t="str">
        <v>MENDEZ</v>
      </c>
      <c r="F82" t="str">
        <v>OTROS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 xml:space="preserve">SILLA PLASTICA BLANCA </v>
      </c>
      <c r="W82" t="str">
        <v>300100280007SM04</v>
      </c>
      <c r="X82" t="str">
        <v>BUENO</v>
      </c>
      <c r="Y82" t="str">
        <v/>
      </c>
      <c r="Z82">
        <f>HYPERLINK("https://informaticpark.clappia.com/app/PAR478947/submission/TLZ59660555/INF070022-PAR478947-2oh463l07hco00000000/WhatsApp%20Image%202024-03-27%20at%2010.41.09.jpeg", "WhatsApp Image 2024-03-27 at 10.41.09.jpeg")</f>
      </c>
      <c r="AA82" t="str">
        <v>NATALIA AMON</v>
      </c>
      <c r="AB82" t="str">
        <v>JEFE POLITICO</v>
      </c>
    </row>
    <row r="83">
      <c r="A83" t="str">
        <v>TLZ59660555</v>
      </c>
      <c r="B83" t="str">
        <v>27-03-2024 11:09 AM</v>
      </c>
      <c r="C83">
        <f>HYPERLINK("https://www.google.com/maps/place/-2.6476544%2C-78.5645568", "-2.6476544,-78.5645568")</f>
      </c>
      <c r="D83" t="str">
        <v>SANTIAGO DE MENDEZ</v>
      </c>
      <c r="E83" t="str">
        <v>MENDEZ</v>
      </c>
      <c r="F83" t="str">
        <v>OTROS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SILLA PLASTICA BLANCA</v>
      </c>
      <c r="W83" t="str">
        <v>300100280007SM03</v>
      </c>
      <c r="X83" t="str">
        <v>BUENO</v>
      </c>
      <c r="Y83" t="str">
        <v/>
      </c>
      <c r="Z83">
        <f>HYPERLINK("https://informaticpark.clappia.com/app/PAR478947/submission/TLZ59660555/INF070022-PAR478947-4l72j74e358600000000/WhatsApp%20Image%202024-03-27%20at%2010.41.09.jpeg", "WhatsApp Image 2024-03-27 at 10.41.09.jpeg")</f>
      </c>
      <c r="AA83" t="str">
        <v>NATALIA AMON</v>
      </c>
      <c r="AB83" t="str">
        <v>JEFE POLITICO</v>
      </c>
    </row>
    <row r="84">
      <c r="A84" t="str">
        <v>TLZ59660555</v>
      </c>
      <c r="B84" t="str">
        <v>27-03-2024 11:09 AM</v>
      </c>
      <c r="C84">
        <f>HYPERLINK("https://www.google.com/maps/place/-2.6476544%2C-78.5645568", "-2.6476544,-78.5645568")</f>
      </c>
      <c r="D84" t="str">
        <v>SANTIAGO DE MENDEZ</v>
      </c>
      <c r="E84" t="str">
        <v>MENDEZ</v>
      </c>
      <c r="F84" t="str">
        <v>OTROS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 xml:space="preserve">SILLA PLASTICA BLANCA </v>
      </c>
      <c r="W84" t="str">
        <v>300100280007SM01</v>
      </c>
      <c r="X84" t="str">
        <v>BUENO</v>
      </c>
      <c r="Y84" t="str">
        <v/>
      </c>
      <c r="Z84">
        <f>HYPERLINK("https://informaticpark.clappia.com/app/PAR478947/submission/TLZ59660555/INF070022-PAR478947-24c99i69l75eo000000/WhatsApp%20Image%202024-03-27%20at%2010.41.09.jpeg", "WhatsApp Image 2024-03-27 at 10.41.09.jpeg")</f>
      </c>
      <c r="AA84" t="str">
        <v>NATALIA AMON</v>
      </c>
      <c r="AB84" t="str">
        <v>JEFE POLITICO</v>
      </c>
    </row>
    <row r="85">
      <c r="A85" t="str">
        <v>TLZ59660555</v>
      </c>
      <c r="B85" t="str">
        <v>27-03-2024 11:09 AM</v>
      </c>
      <c r="C85">
        <f>HYPERLINK("https://www.google.com/maps/place/-2.6476544%2C-78.5645568", "-2.6476544,-78.5645568")</f>
      </c>
      <c r="D85" t="str">
        <v>SANTIAGO DE MENDEZ</v>
      </c>
      <c r="E85" t="str">
        <v>MENDEZ</v>
      </c>
      <c r="F85" t="str">
        <v>OTROS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 xml:space="preserve">PERFORADORA </v>
      </c>
      <c r="W85" t="str">
        <v>170400750001SM0101</v>
      </c>
      <c r="X85" t="str">
        <v>BUENO</v>
      </c>
      <c r="Y85" t="str">
        <v/>
      </c>
      <c r="Z85">
        <f>HYPERLINK("https://informaticpark.clappia.com/app/PAR478947/submission/TLZ59660555/INF070022-PAR478947-a5ajk9ha93nk0000000/WhatsApp%20Image%202024-03-27%20at%2010.57.34.jpeg", "WhatsApp Image 2024-03-27 at 10.57.34.jpeg")</f>
      </c>
      <c r="AA85" t="str">
        <v>NATALIA AMON</v>
      </c>
      <c r="AB85" t="str">
        <v>JEFE POLITICO</v>
      </c>
    </row>
    <row r="86">
      <c r="A86" t="str">
        <v>TLZ59660555</v>
      </c>
      <c r="B86" t="str">
        <v>27-03-2024 11:09 AM</v>
      </c>
      <c r="C86">
        <f>HYPERLINK("https://www.google.com/maps/place/-2.6476544%2C-78.5645568", "-2.6476544,-78.5645568")</f>
      </c>
      <c r="D86" t="str">
        <v>SANTIAGO DE MENDEZ</v>
      </c>
      <c r="E86" t="str">
        <v>MENDEZ</v>
      </c>
      <c r="F86" t="str">
        <v>OTROS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GRAPADORA</v>
      </c>
      <c r="W86" t="str">
        <v>S/N</v>
      </c>
      <c r="X86" t="str">
        <v>BUENO</v>
      </c>
      <c r="Y86" t="str">
        <v/>
      </c>
      <c r="Z86">
        <f>HYPERLINK("https://informaticpark.clappia.com/app/PAR478947/submission/TLZ59660555/INF070022-PAR478947-50l0m5n7g27200000000/WhatsApp%20Image%202024-03-27%20at%2011.01.24.jpeg", "WhatsApp Image 2024-03-27 at 11.01.24.jpeg")</f>
      </c>
      <c r="AA86" t="str">
        <v>NATALIA AMON</v>
      </c>
      <c r="AB86" t="str">
        <v>JEFE POLITICO</v>
      </c>
    </row>
    <row r="87">
      <c r="A87" t="str">
        <v>TLZ59660555</v>
      </c>
      <c r="B87" t="str">
        <v>27-03-2024 11:09 AM</v>
      </c>
      <c r="C87">
        <f>HYPERLINK("https://www.google.com/maps/place/-2.6476544%2C-78.5645568", "-2.6476544,-78.5645568")</f>
      </c>
      <c r="D87" t="str">
        <v>SANTIAGO DE MENDEZ</v>
      </c>
      <c r="E87" t="str">
        <v>MENDEZ</v>
      </c>
      <c r="F87" t="str">
        <v>OTROS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TECLADO</v>
      </c>
      <c r="W87" t="str">
        <v>700100440001SM0101</v>
      </c>
      <c r="X87" t="str">
        <v>BUENO</v>
      </c>
      <c r="Y87" t="str">
        <v/>
      </c>
      <c r="Z87">
        <f>HYPERLINK("https://informaticpark.clappia.com/app/PAR478947/submission/TLZ59660555/INF070022-PAR478947-64dklcp4ecb600000000/WhatsApp%20Image%202024-03-27%20at%2011.04.12.jpeg", "WhatsApp Image 2024-03-27 at 11.04.12.jpeg")</f>
      </c>
      <c r="AA87" t="str">
        <v>NATALIA AMON</v>
      </c>
      <c r="AB87" t="str">
        <v>JEFE POLITICO</v>
      </c>
    </row>
    <row r="88">
      <c r="A88" t="str">
        <v>TLZ59660555</v>
      </c>
      <c r="B88" t="str">
        <v>27-03-2024 11:09 AM</v>
      </c>
      <c r="C88">
        <f>HYPERLINK("https://www.google.com/maps/place/-2.6476544%2C-78.5645568", "-2.6476544,-78.5645568")</f>
      </c>
      <c r="D88" t="str">
        <v>SANTIAGO DE MENDEZ</v>
      </c>
      <c r="E88" t="str">
        <v>MENDEZ</v>
      </c>
      <c r="F88" t="str">
        <v>OTROS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MOUSE</v>
      </c>
      <c r="W88" t="str">
        <v>700100440001SM0101</v>
      </c>
      <c r="X88" t="str">
        <v>BUENO</v>
      </c>
      <c r="Y88" t="str">
        <v/>
      </c>
      <c r="Z88">
        <f>HYPERLINK("https://informaticpark.clappia.com/app/PAR478947/submission/TLZ59660555/INF070022-PAR478947-7ojbcph6i7i20000000/WhatsApp%20Image%202024-03-27%20at%2011.07.55.jpeg", "WhatsApp Image 2024-03-27 at 11.07.55.jpeg")</f>
      </c>
      <c r="AA88" t="str">
        <v>NATALIA AMON</v>
      </c>
      <c r="AB88" t="str">
        <v>JEFE POLITICO</v>
      </c>
    </row>
    <row r="89">
      <c r="A89" t="str">
        <v>ZIR89154548</v>
      </c>
      <c r="B89" t="str">
        <v>27-03-2024 10:56 AM</v>
      </c>
      <c r="C89">
        <f>HYPERLINK("https://www.google.com/maps/place/-2.4316674%2C-78.1573434", "-2.4316674,-78.1573434")</f>
      </c>
      <c r="D89" t="str">
        <v>SUCUA</v>
      </c>
      <c r="E89" t="str">
        <v>SANTA MARIANITA DE JESUS</v>
      </c>
      <c r="F89" t="str">
        <v>COMPUTADOR</v>
      </c>
      <c r="G89" t="str">
        <v xml:space="preserve">MALO </v>
      </c>
      <c r="H89" t="str">
        <v>CPU HP MXL1120182</v>
      </c>
      <c r="I89" t="str">
        <v>MOUSE, MONITOR, TECLADO</v>
      </c>
      <c r="J89" t="str">
        <v>PARLANTE, CPU</v>
      </c>
      <c r="K89" t="str">
        <v xml:space="preserve">El CPU se encuentra en la unidad de Tic  casi dos años. 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NORMA MATUTE DELGADO</v>
      </c>
      <c r="AB89" t="str">
        <v xml:space="preserve">SPA2. Tep. Santa Marianita de Jesús. </v>
      </c>
    </row>
    <row r="90">
      <c r="A90" t="str">
        <v>ZIR89154548</v>
      </c>
      <c r="B90" t="str">
        <v>27-03-2024 10:56 AM</v>
      </c>
      <c r="C90">
        <f>HYPERLINK("https://www.google.com/maps/place/-2.4316674%2C-78.1573434", "-2.4316674,-78.1573434")</f>
      </c>
      <c r="D90" t="str">
        <v>SUCUA</v>
      </c>
      <c r="E90" t="str">
        <v>SANTA MARIANITA DE JESUS</v>
      </c>
      <c r="F90" t="str">
        <v>IMPRESORA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REGULAR</v>
      </c>
      <c r="R90" t="str">
        <v>Z2TSBABB400073L</v>
      </c>
      <c r="S90" t="str">
        <v>CABLE DE CORRIENTE, TONER</v>
      </c>
      <c r="T90" t="str">
        <v>NO APLICA</v>
      </c>
      <c r="U90" t="str">
        <v xml:space="preserve">Se traban las hojas al momento de lnimpresion a veces no imprime no arranca. No tiene escanear ni para copia. </v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NORMA MATUTE DELGADO</v>
      </c>
      <c r="AB90" t="str">
        <v xml:space="preserve">SPA2. Tep. Santa Marianita de Jesús. </v>
      </c>
    </row>
    <row r="91">
      <c r="A91" t="str">
        <v>YLK34590312</v>
      </c>
      <c r="B91" t="str">
        <v>27-03-2024 10:29 AM</v>
      </c>
      <c r="C91">
        <f>HYPERLINK("https://www.google.com/maps/place/-2.2137003148100614%2C-78.16456519718943", "-2.2137003148100614,-78.16456519718943")</f>
      </c>
      <c r="D91" t="str">
        <v>MORONA</v>
      </c>
      <c r="E91" t="str">
        <v>SAN ISIDRO</v>
      </c>
      <c r="F91" t="str">
        <v>COMPUTADOR</v>
      </c>
      <c r="G91" t="str">
        <v xml:space="preserve">MALO </v>
      </c>
      <c r="H91" t="str">
        <v>S/N</v>
      </c>
      <c r="I91" t="str">
        <v>MOUSE, MONITOR, TECLADO</v>
      </c>
      <c r="J91" t="str">
        <v>PARLANTE, MICROFONO, WEBCAM, CPU</v>
      </c>
      <c r="K91" t="str">
        <v>EL COMPUTADOR NO ESTA EN FUNCIÓN      MONITOR, TECLADO Y MOUSE: 70010013001M01 Y NO SE ENCUENTRAN EN BUEN ESTADO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700100290001M01</v>
      </c>
      <c r="S91" t="str">
        <v>CABLE DE CORRIENTE, TONER</v>
      </c>
      <c r="T91" t="str">
        <v>ESCANER, CARTUCHOS</v>
      </c>
      <c r="U91" t="str">
        <v>IMPRIME BORROSO Y AL IMPRIMIR MAS DE CINCO HOJAS SEGUIDAS EMPIEZA A SALIR HUMO, POR TAL RAZON NO SE HACE USO DE LA IMPRESORA.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TATIANA BOLAÑOS</v>
      </c>
      <c r="AB91" t="str">
        <v>TENIENTE POLITICO</v>
      </c>
    </row>
    <row r="92">
      <c r="A92" t="str">
        <v>GZM91203874</v>
      </c>
      <c r="B92" t="str">
        <v>27-03-2024 10:13 AM</v>
      </c>
      <c r="C92">
        <f>HYPERLINK("https://www.google.com/maps/place/-2.7409471%2C-78.8488227", "-2.7409471,-78.8488227")</f>
      </c>
      <c r="D92" t="str">
        <v>LOGROÑO</v>
      </c>
      <c r="E92" t="str">
        <v>LOGROÑO</v>
      </c>
      <c r="F92" t="str">
        <v>COMPUTADOR</v>
      </c>
      <c r="G92" t="str">
        <v>REGULAR</v>
      </c>
      <c r="H92" t="str">
        <v>1400779730LG0115</v>
      </c>
      <c r="I92" t="str">
        <v>MOUSE, MONITOR, TECLADO</v>
      </c>
      <c r="J92" t="str">
        <v>MOUSE, MICROFONO, WEBCAM</v>
      </c>
      <c r="K92" t="str">
        <v xml:space="preserve">CABE ACLARAR QUE EL MOUSE ES DE MI PROPIEDAD 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 xml:space="preserve">GERMANIA DELGADO </v>
      </c>
      <c r="AB92" t="str">
        <v>ASISTENTE  DE APOYO 4</v>
      </c>
    </row>
    <row r="93">
      <c r="A93" t="str">
        <v>GZM91203874</v>
      </c>
      <c r="B93" t="str">
        <v>27-03-2024 10:13 AM</v>
      </c>
      <c r="C93">
        <f>HYPERLINK("https://www.google.com/maps/place/-2.7409471%2C-78.8488227", "-2.7409471,-78.8488227")</f>
      </c>
      <c r="D93" t="str">
        <v>LOGROÑO</v>
      </c>
      <c r="E93" t="str">
        <v>LOGROÑO</v>
      </c>
      <c r="F93" t="str">
        <v>IMPRESORA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 xml:space="preserve">BUENO </v>
      </c>
      <c r="R93" t="str">
        <v>1400779730LG0501</v>
      </c>
      <c r="S93" t="str">
        <v>CABLE DE CORRIENTE, ESCANER</v>
      </c>
      <c r="T93" t="str">
        <v>NO APLICA</v>
      </c>
      <c r="U93" t="str">
        <v>EN USO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 xml:space="preserve">GERMANIA DELGADO </v>
      </c>
      <c r="AB93" t="str">
        <v>ASISTENTE  DE APOYO 4</v>
      </c>
    </row>
    <row r="94">
      <c r="A94" t="str">
        <v>GZM91203874</v>
      </c>
      <c r="B94" t="str">
        <v>27-03-2024 10:13 AM</v>
      </c>
      <c r="C94">
        <f>HYPERLINK("https://www.google.com/maps/place/-2.7409471%2C-78.8488227", "-2.7409471,-78.8488227")</f>
      </c>
      <c r="D94" t="str">
        <v>LOGROÑO</v>
      </c>
      <c r="E94" t="str">
        <v>LOGROÑO</v>
      </c>
      <c r="F94" t="str">
        <v>COMPUTADOR</v>
      </c>
      <c r="G94" t="str">
        <v xml:space="preserve">MALO </v>
      </c>
      <c r="H94" t="str">
        <v>70010013000LG0101</v>
      </c>
      <c r="I94" t="str">
        <v>MOUSE, MONITOR, TECLADO, PARLANTE</v>
      </c>
      <c r="J94" t="str">
        <v/>
      </c>
      <c r="K94" t="str">
        <v xml:space="preserve">EN MAL ESTADO NO FUNCIONA OBSOLETO 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 xml:space="preserve">GERMANIA DELGADO </v>
      </c>
      <c r="AB94" t="str">
        <v>ASISTENTE  DE APOYO 4</v>
      </c>
    </row>
    <row r="95">
      <c r="A95" t="str">
        <v>GUH84641031</v>
      </c>
      <c r="B95" t="str">
        <v>27-03-2024 09:43 AM</v>
      </c>
      <c r="C95">
        <f>HYPERLINK("https://www.google.com/maps/place/-3.205054%2C-78.4358383", "-3.205054,-78.4358383")</f>
      </c>
      <c r="D95" t="str">
        <v>SAN JUAN BOSCO</v>
      </c>
      <c r="E95" t="str">
        <v>SAN CARLOS DE LIMÓN</v>
      </c>
      <c r="F95" t="str">
        <v>COMPUTADOR</v>
      </c>
      <c r="G95" t="str">
        <v>BUENO</v>
      </c>
      <c r="H95" t="str">
        <v>VR4212120939</v>
      </c>
      <c r="I95" t="str">
        <v>MOUSE, MONITOR, TECLADO, WEBCAM</v>
      </c>
      <c r="J95" t="str">
        <v>PARLANTE</v>
      </c>
      <c r="K95" t="str">
        <v>EL COMPUTADOR NO CUENTA CONCONEXION A INTERNET</v>
      </c>
      <c r="L95" t="str">
        <v/>
      </c>
      <c r="M95" t="str">
        <v/>
      </c>
      <c r="N95" t="str">
        <v>NO APLICA</v>
      </c>
      <c r="O95" t="str">
        <v>PANEL TACTIL</v>
      </c>
      <c r="P95" t="str">
        <v>ninguna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Fredy Panjon</v>
      </c>
      <c r="AB95" t="str">
        <v>Teniente Politico</v>
      </c>
    </row>
    <row r="96">
      <c r="A96" t="str">
        <v>GUH84641031</v>
      </c>
      <c r="B96" t="str">
        <v>27-03-2024 09:43 AM</v>
      </c>
      <c r="C96">
        <f>HYPERLINK("https://www.google.com/maps/place/-3.205054%2C-78.4358383", "-3.205054,-78.4358383")</f>
      </c>
      <c r="D96" t="str">
        <v>SAN JUAN BOSCO</v>
      </c>
      <c r="E96" t="str">
        <v>SAN CARLOS DE LIMÓN</v>
      </c>
      <c r="F96" t="str">
        <v>IMPRESORA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 xml:space="preserve">BUENO </v>
      </c>
      <c r="R96" t="str">
        <v>X8HJ000146</v>
      </c>
      <c r="S96" t="str">
        <v>CABLE DE CORRIENTE, ESCANER</v>
      </c>
      <c r="T96" t="str">
        <v>NO APLICA</v>
      </c>
      <c r="U96" t="str">
        <v>FUNCIONANDO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Fredy Panjon</v>
      </c>
      <c r="AB96" t="str">
        <v>Teniente Politico</v>
      </c>
    </row>
    <row r="97">
      <c r="A97" t="str">
        <v>FHR75008238</v>
      </c>
      <c r="B97" t="str">
        <v>27-03-2024 09:39 AM</v>
      </c>
      <c r="C97">
        <f>HYPERLINK("https://www.google.com/maps/place/-1.7861%2C-77.9802", "-1.7861,-77.9802")</f>
      </c>
      <c r="D97" t="str">
        <v>PALORA</v>
      </c>
      <c r="E97" t="str">
        <v>SANGAY</v>
      </c>
      <c r="F97" t="str">
        <v>IMPRESORA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REGULAR</v>
      </c>
      <c r="R97" t="str">
        <v>700/0029000/PA0401</v>
      </c>
      <c r="S97" t="str">
        <v>CABLE DE CORRIENTE, TONER</v>
      </c>
      <c r="T97" t="str">
        <v>ESCANER</v>
      </c>
      <c r="U97" t="str">
        <v>FUNCIONA CON DIFICULTAD</v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MORAIMA SAMANIEGO ORTIZ</v>
      </c>
      <c r="AB97" t="str">
        <v>SERVIDOR PUBLICO DE APOYO 2 TENENCIA POLITICA DE SANGAY</v>
      </c>
    </row>
    <row r="98">
      <c r="A98" t="str">
        <v>FHR75008238</v>
      </c>
      <c r="B98" t="str">
        <v>27-03-2024 09:39 AM</v>
      </c>
      <c r="C98">
        <f>HYPERLINK("https://www.google.com/maps/place/-1.7861%2C-77.9802", "-1.7861,-77.9802")</f>
      </c>
      <c r="D98" t="str">
        <v>PALORA</v>
      </c>
      <c r="E98" t="str">
        <v>SANGAY</v>
      </c>
      <c r="F98" t="str">
        <v>IMPRESORA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 xml:space="preserve">MALO </v>
      </c>
      <c r="R98" t="str">
        <v>700100290003PA0401</v>
      </c>
      <c r="S98" t="str">
        <v>CABLE DE CORRIENTE, TONER</v>
      </c>
      <c r="T98" t="str">
        <v>ESCANER, TONER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MORAIMA SAMANIEGO ORTIZ</v>
      </c>
      <c r="AB98" t="str">
        <v>SERVIDOR PUBLICO DE APOYO 2 TENENCIA POLITICA DE SANGAY</v>
      </c>
    </row>
    <row r="99">
      <c r="A99" t="str">
        <v>FHR75008238</v>
      </c>
      <c r="B99" t="str">
        <v>27-03-2024 09:39 AM</v>
      </c>
      <c r="C99">
        <f>HYPERLINK("https://www.google.com/maps/place/-1.7861%2C-77.9802", "-1.7861,-77.9802")</f>
      </c>
      <c r="D99" t="str">
        <v>PALORA</v>
      </c>
      <c r="E99" t="str">
        <v>SANGAY</v>
      </c>
      <c r="F99" t="str">
        <v>COMPUTADOR</v>
      </c>
      <c r="G99" t="str">
        <v xml:space="preserve">MALO </v>
      </c>
      <c r="H99" t="str">
        <v>700/00060002PCD01</v>
      </c>
      <c r="I99" t="str">
        <v>MONITOR, TECLADO</v>
      </c>
      <c r="J99" t="str">
        <v>MOUSE, PARLANTE</v>
      </c>
      <c r="K99" t="str">
        <v>EL CPU NO FUNCIONA 2 AÑOS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MORAIMA SAMANIEGO ORTIZ</v>
      </c>
      <c r="AB99" t="str">
        <v>SERVIDOR PUBLICO DE APOYO 2 TENENCIA POLITICA DE SANGAY</v>
      </c>
    </row>
    <row r="100">
      <c r="A100" t="str">
        <v>WEO75065336</v>
      </c>
      <c r="B100" t="str">
        <v>27-03-2024 09:33 AM</v>
      </c>
      <c r="C100">
        <f>HYPERLINK("https://www.google.com/maps/place/-3.0288223%2C-78.4332091", "-3.0288223,-78.4332091")</f>
      </c>
      <c r="D100" t="str">
        <v>LIMON INDANZA</v>
      </c>
      <c r="E100" t="str">
        <v>SAN ANTONIO</v>
      </c>
      <c r="F100" t="str">
        <v>COMPUTADOR</v>
      </c>
      <c r="G100" t="str">
        <v>REGULAR</v>
      </c>
      <c r="H100" t="str">
        <v>1400672539LI0233</v>
      </c>
      <c r="I100" t="str">
        <v>MOUSE, MONITOR, TECLADO</v>
      </c>
      <c r="J100" t="str">
        <v>PARLANTE, MICROFONO, WEBCAM</v>
      </c>
      <c r="K100" t="str">
        <v xml:space="preserve">Tiene un regulador de boltaje 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 xml:space="preserve">Morela Rios </v>
      </c>
      <c r="AB100" t="str">
        <v xml:space="preserve">Teniente Político </v>
      </c>
    </row>
    <row r="101">
      <c r="A101" t="str">
        <v>WEO75065336</v>
      </c>
      <c r="B101" t="str">
        <v>27-03-2024 09:33 AM</v>
      </c>
      <c r="C101">
        <f>HYPERLINK("https://www.google.com/maps/place/-3.0288223%2C-78.4332091", "-3.0288223,-78.4332091")</f>
      </c>
      <c r="D101" t="str">
        <v>LIMON INDANZA</v>
      </c>
      <c r="E101" t="str">
        <v>SAN ANTONIO</v>
      </c>
      <c r="F101" t="str">
        <v>IMPRESORA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 xml:space="preserve">MALO </v>
      </c>
      <c r="R101" t="str">
        <v>S/n</v>
      </c>
      <c r="S101" t="str">
        <v>NO APLICA</v>
      </c>
      <c r="T101" t="str">
        <v>CABLE DE CORRIENTE, ESCANER, CARTUCHOS, TONER</v>
      </c>
      <c r="U101" t="str">
        <v xml:space="preserve">Totalmente dañada 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 xml:space="preserve">Morela Rios </v>
      </c>
      <c r="AB101" t="str">
        <v xml:space="preserve">Teniente Político </v>
      </c>
    </row>
    <row r="102">
      <c r="A102" t="str">
        <v>TGP36264724</v>
      </c>
      <c r="B102" t="str">
        <v>27-03-2024 09:32 AM</v>
      </c>
      <c r="C102">
        <f>HYPERLINK("https://www.google.com/maps/place/-2.881771606103369%2C-77.66858976856142", "-2.881771606103369,-77.66858976856142")</f>
      </c>
      <c r="D102" t="str">
        <v>TIWINTZA</v>
      </c>
      <c r="E102" t="str">
        <v>SAN JOSE DE MORONA</v>
      </c>
      <c r="F102" t="str">
        <v>OTROS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Monitor</v>
      </c>
      <c r="W102" t="str">
        <v>70010044000LSJMDL01</v>
      </c>
      <c r="X102" t="str">
        <v>MALO</v>
      </c>
      <c r="Y102" t="str">
        <v xml:space="preserve">El equipo se encuentra en mal estado, por  lo cual se necesita dar de baja. </v>
      </c>
      <c r="Z102">
        <f>HYPERLINK("https://informaticpark.clappia.com/app/PAR478947/submission/TGP36264724/INF070022-PAR478947-c8hkdbolg73c0000000/IMG-20240327_0931h8ecm.jpeg", "IMG-20240327_0931h8ecm.jpeg")</f>
      </c>
      <c r="AA102" t="str">
        <v>Franklin Chamico</v>
      </c>
      <c r="AB102" t="str">
        <v>Teniente político de la parroquia san José de Morona.</v>
      </c>
    </row>
    <row r="103">
      <c r="A103" t="str">
        <v>BQB34826744</v>
      </c>
      <c r="B103" t="str">
        <v>27-03-2024 09:13 AM</v>
      </c>
      <c r="C103">
        <f>HYPERLINK("https://www.google.com/maps/place/-2.6983322143767885%2C-78.23904198595555", "-2.6983322143767885,-78.23904198595555")</f>
      </c>
      <c r="D103" t="str">
        <v>SANTIAGO DE MENDEZ</v>
      </c>
      <c r="E103" t="str">
        <v>TAYUZA</v>
      </c>
      <c r="F103" t="str">
        <v>COMPUTADOR</v>
      </c>
      <c r="G103" t="str">
        <v xml:space="preserve">MALO </v>
      </c>
      <c r="H103" t="str">
        <v>14003316495M0157</v>
      </c>
      <c r="I103" t="str">
        <v>MOUSE, MONITOR, TECLADO</v>
      </c>
      <c r="J103" t="str">
        <v>PARLANTE, MICROFONO, WEBCAM</v>
      </c>
      <c r="K103" t="str">
        <v xml:space="preserve">Se requiere servicio de internet 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 xml:space="preserve">Mayte Campoverde </v>
      </c>
      <c r="AB103" t="str">
        <v xml:space="preserve">Teniente Político de la Parroquia Tayuza </v>
      </c>
    </row>
    <row r="104">
      <c r="A104" t="str">
        <v>BQB34826744</v>
      </c>
      <c r="B104" t="str">
        <v>27-03-2024 09:13 AM</v>
      </c>
      <c r="C104">
        <f>HYPERLINK("https://www.google.com/maps/place/-2.6983322143767885%2C-78.23904198595555", "-2.6983322143767885,-78.23904198595555")</f>
      </c>
      <c r="D104" t="str">
        <v>SANTIAGO DE MENDEZ</v>
      </c>
      <c r="E104" t="str">
        <v>TAYUZA</v>
      </c>
      <c r="F104" t="str">
        <v>IMPRESORA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 xml:space="preserve">MALO </v>
      </c>
      <c r="R104" t="str">
        <v>S/N</v>
      </c>
      <c r="S104" t="str">
        <v>NO APLICA</v>
      </c>
      <c r="T104" t="str">
        <v>CABLE DE CORRIENTE, ESCANER, CARTUCHOS, TONER</v>
      </c>
      <c r="U104" t="str">
        <v>Marca: Canon Pixma Modelo: MP280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 xml:space="preserve">Mayte Campoverde </v>
      </c>
      <c r="AB104" t="str">
        <v xml:space="preserve">Teniente Político de la Parroquia Tayuza </v>
      </c>
    </row>
    <row r="105">
      <c r="A105" t="str">
        <v>BQB34826744</v>
      </c>
      <c r="B105" t="str">
        <v>27-03-2024 09:13 AM</v>
      </c>
      <c r="C105">
        <f>HYPERLINK("https://www.google.com/maps/place/-2.6983322143767885%2C-78.23904198595555", "-2.6983322143767885,-78.23904198595555")</f>
      </c>
      <c r="D105" t="str">
        <v>SANTIAGO DE MENDEZ</v>
      </c>
      <c r="E105" t="str">
        <v>TAYUZA</v>
      </c>
      <c r="F105" t="str">
        <v>OTROS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CPU</v>
      </c>
      <c r="W105" t="str">
        <v>7001001300015M0301</v>
      </c>
      <c r="X105" t="str">
        <v>MALO</v>
      </c>
      <c r="Y105" t="str">
        <v/>
      </c>
      <c r="Z105">
        <f>HYPERLINK("https://informaticpark.clappia.com/app/PAR478947/submission/BQB34826744/INF070022-PAR478947-311f2agdi850bll63hig/IMG-20240327_090611ej84.jpeg", "IMG-20240327_090611ej84.jpeg")</f>
      </c>
      <c r="AA105" t="str">
        <v xml:space="preserve">Mayte Campoverde </v>
      </c>
      <c r="AB105" t="str">
        <v xml:space="preserve">Teniente Político de la Parroquia Tayuza </v>
      </c>
    </row>
    <row r="106">
      <c r="A106" t="str">
        <v>BQB34826744</v>
      </c>
      <c r="B106" t="str">
        <v>27-03-2024 09:13 AM</v>
      </c>
      <c r="C106">
        <f>HYPERLINK("https://www.google.com/maps/place/-2.6983322143767885%2C-78.23904198595555", "-2.6983322143767885,-78.23904198595555")</f>
      </c>
      <c r="D106" t="str">
        <v>SANTIAGO DE MENDEZ</v>
      </c>
      <c r="E106" t="str">
        <v>TAYUZA</v>
      </c>
      <c r="F106" t="str">
        <v>OTROS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 xml:space="preserve">Teclado </v>
      </c>
      <c r="W106" t="str">
        <v>XP135S847008</v>
      </c>
      <c r="X106" t="str">
        <v>MALO</v>
      </c>
      <c r="Y106" t="str">
        <v/>
      </c>
      <c r="Z106">
        <f>HYPERLINK("https://informaticpark.clappia.com/app/PAR478947/submission/BQB34826744/INF070022-PAR478947-2gm9acegj3p9gde5ci2k/IMG-20240327_090985fcf.jpeg", "IMG-20240327_090985fcf.jpeg")</f>
      </c>
      <c r="AA106" t="str">
        <v xml:space="preserve">Mayte Campoverde </v>
      </c>
      <c r="AB106" t="str">
        <v xml:space="preserve">Teniente Político de la Parroquia Tayuza </v>
      </c>
    </row>
    <row r="107">
      <c r="A107" t="str">
        <v>BQB34826744</v>
      </c>
      <c r="B107" t="str">
        <v>27-03-2024 09:13 AM</v>
      </c>
      <c r="C107">
        <f>HYPERLINK("https://www.google.com/maps/place/-2.6983322143767885%2C-78.23904198595555", "-2.6983322143767885,-78.23904198595555")</f>
      </c>
      <c r="D107" t="str">
        <v>SANTIAGO DE MENDEZ</v>
      </c>
      <c r="E107" t="str">
        <v>TAYUZA</v>
      </c>
      <c r="F107" t="str">
        <v>OTROS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 xml:space="preserve">Mouse </v>
      </c>
      <c r="W107" t="str">
        <v>YB17C1U11685</v>
      </c>
      <c r="X107" t="str">
        <v>MALO</v>
      </c>
      <c r="Y107" t="str">
        <v/>
      </c>
      <c r="Z107">
        <f>HYPERLINK("https://informaticpark.clappia.com/app/PAR478947/submission/BQB34826744/INF070022-PAR478947-2o58fjj1dc0gn8o7mo2c/IMG-20240327_0911di649.jpeg", "IMG-20240327_0911di649.jpeg")</f>
      </c>
      <c r="AA107" t="str">
        <v xml:space="preserve">Mayte Campoverde </v>
      </c>
      <c r="AB107" t="str">
        <v xml:space="preserve">Teniente Político de la Parroquia Tayuza </v>
      </c>
    </row>
    <row r="108">
      <c r="A108" t="str">
        <v>YBC21222757</v>
      </c>
      <c r="B108" t="str">
        <v>27-03-2024 08:45 AM</v>
      </c>
      <c r="C108">
        <f>HYPERLINK("https://www.google.com/maps/place/-2.2209836%2C-78.248885", "-2.2209836,-78.248885")</f>
      </c>
      <c r="D108" t="str">
        <v>MORONA</v>
      </c>
      <c r="E108" t="str">
        <v>9 DE OCTUBRE</v>
      </c>
      <c r="F108" t="str">
        <v>COMPUTADOR</v>
      </c>
      <c r="G108" t="str">
        <v xml:space="preserve">MALO </v>
      </c>
      <c r="H108" t="str">
        <v>MXL112013Z</v>
      </c>
      <c r="I108" t="str">
        <v>MOUSE, MONITOR, TECLADO</v>
      </c>
      <c r="J108" t="str">
        <v>PARLANTE, MICROFONO, WEBCAM</v>
      </c>
      <c r="K108" t="str">
        <v>se quemo el monitor debido a los cortes energéticos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Luis Ermel Arteaga Barba</v>
      </c>
      <c r="AB108" t="str">
        <v>Servidor publico de apoyo 2</v>
      </c>
    </row>
    <row r="109">
      <c r="A109" t="str">
        <v>VOM98431713</v>
      </c>
      <c r="B109" t="str">
        <v>27-03-2024 08:33 AM</v>
      </c>
      <c r="C109">
        <f>HYPERLINK("https://www.google.com/maps/place/-3.1222613%2C-78.531256", "-3.1222613,-78.531256")</f>
      </c>
      <c r="D109" t="str">
        <v>SAN JUAN BOSCO</v>
      </c>
      <c r="E109" t="str">
        <v>SANJUAN BOSCO</v>
      </c>
      <c r="F109" t="str">
        <v>COMPUTADOR</v>
      </c>
      <c r="G109" t="str">
        <v xml:space="preserve">MALO </v>
      </c>
      <c r="H109" t="str">
        <v>3CQ01810GG</v>
      </c>
      <c r="I109" t="str">
        <v>MOUSE, MONITOR, TECLADO, PARLANTE</v>
      </c>
      <c r="J109" t="str">
        <v>MICROFONO, WEBCAM, CPU</v>
      </c>
      <c r="K109" t="str">
        <v>No funciona.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 xml:space="preserve">MALDONADO ARÉVALO JEFFERSON SANTIAGO </v>
      </c>
      <c r="AB109" t="str">
        <v xml:space="preserve">JEFE POLÍTICO </v>
      </c>
    </row>
    <row r="110">
      <c r="A110" t="str">
        <v>MNN81417042</v>
      </c>
      <c r="B110" t="str">
        <v>27-03-2024 08:28 AM</v>
      </c>
      <c r="C110">
        <f>HYPERLINK("https://www.google.com/maps/place/-3.1222572%2C-78.5312605", "-3.1222572,-78.5312605")</f>
      </c>
      <c r="D110" t="str">
        <v>SAN JUAN BOSCO</v>
      </c>
      <c r="E110" t="str">
        <v>SANJUAN BOSCO</v>
      </c>
      <c r="F110" t="str">
        <v>COMPUTADOR</v>
      </c>
      <c r="G110" t="str">
        <v>REGULAR</v>
      </c>
      <c r="H110" t="str">
        <v>PE17HVBP914721L</v>
      </c>
      <c r="I110" t="str">
        <v>MOUSE, TECLADO, PARLANTE</v>
      </c>
      <c r="J110" t="str">
        <v>MICROFONO, WEBCAM, CPU</v>
      </c>
      <c r="K110" t="str">
        <v>Por el estado en el que se encuentra es dificultoso poder trabajar con normalidad.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 xml:space="preserve">CABRERA BORJA LIZBETH JHOMARA </v>
      </c>
      <c r="AB110" t="str">
        <v>SECRETARIA AD-HOC</v>
      </c>
    </row>
    <row r="111">
      <c r="A111" t="str">
        <v>MNN81417042</v>
      </c>
      <c r="B111" t="str">
        <v>27-03-2024 08:28 AM</v>
      </c>
      <c r="C111">
        <f>HYPERLINK("https://www.google.com/maps/place/-3.1222572%2C-78.5312605", "-3.1222572,-78.5312605")</f>
      </c>
      <c r="D111" t="str">
        <v>SAN JUAN BOSCO</v>
      </c>
      <c r="E111" t="str">
        <v>SANJUAN BOSCO</v>
      </c>
      <c r="F111" t="str">
        <v>IMPRESORA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REGULAR</v>
      </c>
      <c r="R111" t="str">
        <v>X2P4208370</v>
      </c>
      <c r="S111" t="str">
        <v>CABLE DE CORRIENTE, ESCANER</v>
      </c>
      <c r="T111" t="str">
        <v>TONER</v>
      </c>
      <c r="U111" t="str">
        <v>En ciertas ocasiones, se tiene dificultad para imprimir.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 xml:space="preserve">CABRERA BORJA LIZBETH JHOMARA </v>
      </c>
      <c r="AB111" t="str">
        <v>SECRETARIA AD-HOC</v>
      </c>
    </row>
    <row r="112">
      <c r="A112" t="str">
        <v>MNN81417042</v>
      </c>
      <c r="B112" t="str">
        <v>27-03-2024 08:28 AM</v>
      </c>
      <c r="C112">
        <f>HYPERLINK("https://www.google.com/maps/place/-3.1222572%2C-78.5312605", "-3.1222572,-78.5312605")</f>
      </c>
      <c r="D112" t="str">
        <v>SAN JUAN BOSCO</v>
      </c>
      <c r="E112" t="str">
        <v>SANJUAN BOSCO</v>
      </c>
      <c r="F112" t="str">
        <v>LAPTOP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REGULAR</v>
      </c>
      <c r="M112" t="str">
        <v>4SMVVW32</v>
      </c>
      <c r="N112" t="str">
        <v>PANTALLA, PANEL TACTIL, TECLADO, PARLANTE, WEBCAM, MOUSE (RATÓN)</v>
      </c>
      <c r="O112" t="str">
        <v>MICROFONO</v>
      </c>
      <c r="P112" t="str">
        <v>En ciertas ocasiones se tiene dificultad para trabajar, muy lenta.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 xml:space="preserve">CABRERA BORJA LIZBETH JHOMARA </v>
      </c>
      <c r="AB112" t="str">
        <v>SECRETARIA AD-HOC</v>
      </c>
    </row>
    <row r="113">
      <c r="A113" t="str">
        <v>BPQ29566874</v>
      </c>
      <c r="B113" t="str">
        <v>27-03-2024 08:07 AM</v>
      </c>
      <c r="C113">
        <f>HYPERLINK("https://www.google.com/maps/place/-1.6985487957387608%2C-77.96741396006908", "-1.6985487957387608,-77.96741396006908")</f>
      </c>
      <c r="D113" t="str">
        <v>PALORA</v>
      </c>
      <c r="E113" t="str">
        <v>ARAPICOS</v>
      </c>
      <c r="F113" t="str">
        <v>COMPUTADOR</v>
      </c>
      <c r="G113" t="str">
        <v xml:space="preserve">MALO </v>
      </c>
      <c r="H113" t="str">
        <v>700100060002PA0501</v>
      </c>
      <c r="I113" t="str">
        <v>MOUSE, MONITOR, TECLADO</v>
      </c>
      <c r="J113" t="str">
        <v>NO APLICA</v>
      </c>
      <c r="K113" t="str">
        <v>Equipo en mal estado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Claus Diaz</v>
      </c>
      <c r="AB113" t="str">
        <v>Teniente Politico de Arapicos</v>
      </c>
    </row>
    <row r="114">
      <c r="A114" t="str">
        <v>BPQ29566874</v>
      </c>
      <c r="B114" t="str">
        <v>27-03-2024 08:07 AM</v>
      </c>
      <c r="C114">
        <f>HYPERLINK("https://www.google.com/maps/place/-1.6985487957387608%2C-77.96741396006908", "-1.6985487957387608,-77.96741396006908")</f>
      </c>
      <c r="D114" t="str">
        <v>PALORA</v>
      </c>
      <c r="E114" t="str">
        <v>ARAPICOS</v>
      </c>
      <c r="F114" t="str">
        <v>IMPRESORA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 xml:space="preserve">MALO </v>
      </c>
      <c r="R114" t="str">
        <v>700100290002PA0501</v>
      </c>
      <c r="S114" t="str">
        <v>NO APLICA</v>
      </c>
      <c r="T114" t="str">
        <v>NO APLICA</v>
      </c>
      <c r="U114" t="str">
        <v>Mal estado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>Claus Diaz</v>
      </c>
      <c r="AB114" t="str">
        <v>Teniente Politico de Arapicos</v>
      </c>
    </row>
    <row r="115">
      <c r="A115" t="str">
        <v>WEZ95103734</v>
      </c>
      <c r="B115" t="str">
        <v>26-03-2024 08:23 PM</v>
      </c>
      <c r="C115">
        <f>HYPERLINK("https://www.google.com/maps/place/-2.205025%2C-78.368584", "-2.205025,-78.368584")</f>
      </c>
      <c r="D115" t="str">
        <v>MORONA</v>
      </c>
      <c r="E115" t="str">
        <v>SUÑAC</v>
      </c>
      <c r="F115" t="str">
        <v>COMPUTADOR</v>
      </c>
      <c r="G115" t="str">
        <v xml:space="preserve">MALO </v>
      </c>
      <c r="H115" t="str">
        <v>MXL112011H</v>
      </c>
      <c r="I115" t="str">
        <v>MOUSE, MONITOR, TECLADO</v>
      </c>
      <c r="J115" t="str">
        <v>MICROFONO, WEBCAM</v>
      </c>
      <c r="K115" t="str">
        <v xml:space="preserve">se encuentra en mal estado, no funciona la pantalla, es lenta y el mouse en mal estado 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 xml:space="preserve">Luis Arteaga </v>
      </c>
      <c r="AB115" t="str">
        <v>Servidor público de apoyo 2</v>
      </c>
    </row>
    <row r="116">
      <c r="A116" t="str">
        <v>ZPC28461542</v>
      </c>
      <c r="B116" t="str">
        <v>26-03-2024 08:12 PM</v>
      </c>
      <c r="C116">
        <f>HYPERLINK("https://www.google.com/maps/place/-2.2216767%2C-78.2498981", "-2.2216767,-78.2498981")</f>
      </c>
      <c r="D116" t="str">
        <v>MORONA</v>
      </c>
      <c r="E116" t="str">
        <v>9 DE OCTUBRE</v>
      </c>
      <c r="F116" t="str">
        <v>COMPUTADOR</v>
      </c>
      <c r="G116" t="str">
        <v xml:space="preserve">MALO </v>
      </c>
      <c r="H116" t="str">
        <v>MXL112013Z</v>
      </c>
      <c r="I116" t="str">
        <v>MOUSE, MONITOR, TECLADO</v>
      </c>
      <c r="J116" t="str">
        <v>PARLANTE, MICROFONO, WEBCAM</v>
      </c>
      <c r="K116" t="str">
        <v xml:space="preserve">Mal estado 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Luis Ermel Arteaga Barba</v>
      </c>
      <c r="AB116" t="str">
        <v xml:space="preserve">Servidor publico de apoyo dos </v>
      </c>
    </row>
    <row r="117">
      <c r="A117" t="str">
        <v>OKL83061896</v>
      </c>
      <c r="B117" t="str">
        <v>26-03-2024 06:20 PM</v>
      </c>
      <c r="C117">
        <f>HYPERLINK("https://www.google.com/maps/place/-3.0597852%2C-78.4765429", "-3.0597852,-78.4765429")</f>
      </c>
      <c r="D117" t="str">
        <v>LIMON INDANZA</v>
      </c>
      <c r="E117" t="str">
        <v>INDANZA</v>
      </c>
      <c r="F117" t="str">
        <v>COMPUTADOR</v>
      </c>
      <c r="G117" t="str">
        <v>REGULAR</v>
      </c>
      <c r="H117" t="str">
        <v>70010030001IN0101</v>
      </c>
      <c r="I117" t="str">
        <v>MOUSE, MONITOR, TECLADO, PARLANTE, MICROFONO, WEBCAM</v>
      </c>
      <c r="J117" t="str">
        <v/>
      </c>
      <c r="K117" t="str">
        <v>Muy lenta para poder realizar trabajos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 xml:space="preserve">Jesús Armando Peñaranda López </v>
      </c>
      <c r="AB117" t="str">
        <v xml:space="preserve">Teniente Político </v>
      </c>
    </row>
    <row r="118">
      <c r="A118" t="str">
        <v>KIF99865976</v>
      </c>
      <c r="B118" t="str">
        <v>26-03-2024 05:55 PM</v>
      </c>
      <c r="C118">
        <f>HYPERLINK("https://www.google.com/maps/place/-2.121752974544953%2C-77.86426761865306", "-2.121752974544953,-77.86426761865306")</f>
      </c>
      <c r="D118" t="str">
        <v>MORONA</v>
      </c>
      <c r="E118" t="str">
        <v>CUCHAENTZA</v>
      </c>
      <c r="F118" t="str">
        <v>COMPUTADOR</v>
      </c>
      <c r="G118" t="str">
        <v xml:space="preserve">MALO </v>
      </c>
      <c r="H118" t="str">
        <v>700100130001MC01</v>
      </c>
      <c r="I118" t="str">
        <v>NO APLICA</v>
      </c>
      <c r="J118" t="str">
        <v>NO APLICA</v>
      </c>
      <c r="K118" t="str">
        <v>NO EXISTE Y NO RECIBIO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SAMSUNG ML25800 SERIE:S/N 252</v>
      </c>
      <c r="S118" t="str">
        <v/>
      </c>
      <c r="T118" t="str">
        <v/>
      </c>
      <c r="U118" t="str">
        <v xml:space="preserve">NO EXISTE  Y NO RECIBIO 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TSUKANKA TAIJINT GUSTAVO</v>
      </c>
      <c r="AB118" t="str">
        <v>SECRETARIO DE LA TENENCIA POLITICA PARROQUIA CUCHAENTZA</v>
      </c>
    </row>
    <row r="119">
      <c r="A119" t="str">
        <v>BVZ35118496</v>
      </c>
      <c r="B119" t="str">
        <v>26-03-2024 04:16 PM</v>
      </c>
      <c r="C119">
        <f>HYPERLINK("https://www.google.com/maps/place/-3.077119787341878%2C-78.52010192950446", "-3.077119787341878,-78.52010192950446")</f>
      </c>
      <c r="D119" t="str">
        <v>SAN JUAN BOSCO</v>
      </c>
      <c r="E119" t="str">
        <v>PAN DE AZUCAR</v>
      </c>
      <c r="F119" t="str">
        <v>IMPRESORA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 xml:space="preserve">MALO </v>
      </c>
      <c r="R119" t="str">
        <v>144MBKDQ80089BT</v>
      </c>
      <c r="S119" t="str">
        <v>NO APLICA</v>
      </c>
      <c r="T119" t="str">
        <v>CABLE DE CORRIENTE, ESCANER, CARTUCHOS, TONER</v>
      </c>
      <c r="U119" t="str">
        <v>Culminó su vida útil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Andersson Olmedo Garzón Molina</v>
      </c>
      <c r="AB119" t="str">
        <v>Teniente Político de la parroquia Pan de Azúcar</v>
      </c>
    </row>
    <row r="120">
      <c r="A120" t="str">
        <v>PTR15191319</v>
      </c>
      <c r="B120" t="str">
        <v>26-03-2024 04:14 PM</v>
      </c>
      <c r="C120">
        <f>HYPERLINK("https://www.google.com/maps/place/-2.4697%2C-78.1596", "-2.4697,-78.1596")</f>
      </c>
      <c r="D120" t="str">
        <v>SUCUA</v>
      </c>
      <c r="E120" t="str">
        <v>ASUNCIÓN</v>
      </c>
      <c r="F120" t="str">
        <v>COMPUTADOR</v>
      </c>
      <c r="G120" t="str">
        <v>BUENO</v>
      </c>
      <c r="H120" t="str">
        <v>PARLANTES QUASAD SERIE: IAS70390775 REGULADOR DE CORRIENTE CDP SERIE: 5827700020</v>
      </c>
      <c r="I120" t="str">
        <v>MOUSE, MONITOR, TECLADO, PARLANTE</v>
      </c>
      <c r="J120" t="str">
        <v>MICROFONO, WEBCAM</v>
      </c>
      <c r="K120" t="str">
        <v>La computadora de la Tenencia Política de la Parroquia Asunción, es donada y no consta en el inventario de bienes de la Gobernación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María Fernanda Freire Yánez</v>
      </c>
      <c r="AB120" t="str">
        <v>Asistente de Tenencia Política de la Parroquia Asunción</v>
      </c>
    </row>
    <row r="121">
      <c r="A121" t="str">
        <v>PTR15191319</v>
      </c>
      <c r="B121" t="str">
        <v>26-03-2024 04:14 PM</v>
      </c>
      <c r="C121">
        <f>HYPERLINK("https://www.google.com/maps/place/-2.4697%2C-78.1596", "-2.4697,-78.1596")</f>
      </c>
      <c r="D121" t="str">
        <v>SUCUA</v>
      </c>
      <c r="E121" t="str">
        <v>ASUNCIÓN</v>
      </c>
      <c r="F121" t="str">
        <v>IMPRESORA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 xml:space="preserve">MALO </v>
      </c>
      <c r="R121" t="str">
        <v>No disponemos</v>
      </c>
      <c r="S121" t="str">
        <v>NO APLICA</v>
      </c>
      <c r="T121" t="str">
        <v>NO APLICA</v>
      </c>
      <c r="U121" t="str">
        <v>No disponemos de impresora en la oficina y es indispensable adquirirla, en reiteradas ocasiones e solicitado a los Tenientes que realicen gestiones de adquisición, donación, comodato para conseguir una, pero no he tenido ningún resultado.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>María Fernanda Freire Yánez</v>
      </c>
      <c r="AB121" t="str">
        <v>Asistente de Tenencia Política de la Parroquia Asunción</v>
      </c>
    </row>
    <row r="122">
      <c r="A122" t="str">
        <v>GJY34371992</v>
      </c>
      <c r="B122" t="str">
        <v>26-03-2024 04:12 PM</v>
      </c>
      <c r="C122">
        <f>HYPERLINK("https://www.google.com/maps/place/-3.0772489034127273%2C-78.52022695310433", "-3.0772489034127273,-78.52022695310433")</f>
      </c>
      <c r="D122" t="str">
        <v>SAN JUAN BOSCO</v>
      </c>
      <c r="E122" t="str">
        <v>PAN DE AZUCAR</v>
      </c>
      <c r="F122" t="str">
        <v>COMPUTADOR</v>
      </c>
      <c r="G122" t="str">
        <v xml:space="preserve">MALO </v>
      </c>
      <c r="H122" t="str">
        <v>ETM8C03529019</v>
      </c>
      <c r="I122" t="str">
        <v>MOUSE, MONITOR, TECLADO, PARLANTE</v>
      </c>
      <c r="J122" t="str">
        <v>MICROFONO, WEBCAM</v>
      </c>
      <c r="K122" t="str">
        <v>No enciende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Andersson Olmedo Garzón Molina</v>
      </c>
      <c r="AB122" t="str">
        <v>Teniente Político de la parroquia Pan de Azúcar</v>
      </c>
    </row>
    <row r="123">
      <c r="A123" t="str">
        <v>YJH35130801</v>
      </c>
      <c r="B123" t="str">
        <v>26-03-2024 03:44 PM</v>
      </c>
      <c r="C123">
        <f>HYPERLINK("https://www.google.com/maps/place/-2.3855104%2C-77.5028736", "-2.3855104,-77.5028736")</f>
      </c>
      <c r="D123" t="str">
        <v>TAISHA</v>
      </c>
      <c r="E123" t="str">
        <v>TAISHA</v>
      </c>
      <c r="F123" t="str">
        <v>IMPRESORA</v>
      </c>
      <c r="G123" t="str">
        <v/>
      </c>
      <c r="H123" t="str">
        <v>MONITOR HP LV1911, CPU MXL3242BXO</v>
      </c>
      <c r="I123" t="str">
        <v>MOUSE, MONITOR, TECLADO</v>
      </c>
      <c r="J123" t="str">
        <v>PARLANTE, MICROFONO, WEBCAM, CPU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 xml:space="preserve">MALO </v>
      </c>
      <c r="R123" t="str">
        <v>SAMSUNG SCX-4300, SERIE 1456BFBZ501596</v>
      </c>
      <c r="S123" t="str">
        <v>CABLE DE CORRIENTE</v>
      </c>
      <c r="T123" t="str">
        <v>NO APLICA</v>
      </c>
      <c r="U123" t="str">
        <v>Se encuentra dañada, entregada al Dep. Sistemass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Juanito Freddy Martinez Urdialez</v>
      </c>
      <c r="AB123" t="str">
        <v>Servidor Publico de Apoyo 2</v>
      </c>
    </row>
    <row r="124">
      <c r="A124" t="str">
        <v>YJH35130801</v>
      </c>
      <c r="B124" t="str">
        <v>26-03-2024 03:44 PM</v>
      </c>
      <c r="C124">
        <f>HYPERLINK("https://www.google.com/maps/place/-2.3855104%2C-77.5028736", "-2.3855104,-77.5028736")</f>
      </c>
      <c r="D124" t="str">
        <v>TAISHA</v>
      </c>
      <c r="E124" t="str">
        <v>TAISHA</v>
      </c>
      <c r="F124" t="str">
        <v>IMPRESORA</v>
      </c>
      <c r="G124" t="str">
        <v/>
      </c>
      <c r="H124" t="str">
        <v>MONITOR SAMSUMG V88BH9NZ1223, CPU XTECH</v>
      </c>
      <c r="I124" t="str">
        <v>MOUSE, MONITOR, TECLADO</v>
      </c>
      <c r="J124" t="str">
        <v>PARLANTE, MICROFONO, WEBCAM, CPU</v>
      </c>
      <c r="K124" t="str">
        <v>NO ESTA EN USO, POR ESTAR DAÑADA LA IMPRESORA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 xml:space="preserve">MALO </v>
      </c>
      <c r="R124" t="str">
        <v>SAMSUNG, SERIE Z2TSBABB500333L</v>
      </c>
      <c r="S124" t="str">
        <v>CABLE DE CORRIENTE</v>
      </c>
      <c r="T124" t="str">
        <v>NO APLICA</v>
      </c>
      <c r="U124" t="str">
        <v>IMPRESORA ESTA DAÑADA, INGRESADA EN EL DEP. SISTEMAS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Juanito Freddy Martinez Urdialez</v>
      </c>
      <c r="AB124" t="str">
        <v>Servidor Publico de Apoyo 2</v>
      </c>
    </row>
    <row r="125">
      <c r="A125" t="str">
        <v>YJH35130801</v>
      </c>
      <c r="B125" t="str">
        <v>26-03-2024 03:44 PM</v>
      </c>
      <c r="C125">
        <f>HYPERLINK("https://www.google.com/maps/place/-2.3855104%2C-77.5028736", "-2.3855104,-77.5028736")</f>
      </c>
      <c r="D125" t="str">
        <v>TAISHA</v>
      </c>
      <c r="E125" t="str">
        <v>TAISHA</v>
      </c>
      <c r="F125" t="str">
        <v>COMPUTADOR</v>
      </c>
      <c r="G125" t="str">
        <v>REGULAR</v>
      </c>
      <c r="H125" t="str">
        <v xml:space="preserve">MONITOR HP COMPAQ, SERIE 3CQ01810BS, CPU HP-MXL03208RH </v>
      </c>
      <c r="I125" t="str">
        <v>MOUSE, MONITOR, TECLADO</v>
      </c>
      <c r="J125" t="str">
        <v/>
      </c>
      <c r="K125" t="str">
        <v xml:space="preserve">CPU, DAÑADA, INGRESADA  AL DEP. DE SISTEMAS 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Juanito Freddy Martinez Urdialez</v>
      </c>
      <c r="AB125" t="str">
        <v>Servidor Publico de Apoyo 2</v>
      </c>
    </row>
    <row r="126">
      <c r="A126" t="str">
        <v>GZM86515194</v>
      </c>
      <c r="B126" t="str">
        <v>26-03-2024 03:36 PM</v>
      </c>
      <c r="C126">
        <f>HYPERLINK("https://www.google.com/maps/place/-2.886385%2C-78.7759559", "-2.886385,-78.7759559")</f>
      </c>
      <c r="D126" t="str">
        <v>GUALAQUIZA</v>
      </c>
      <c r="E126" t="str">
        <v>CHIGÜINDA</v>
      </c>
      <c r="F126" t="str">
        <v>COMPUTADOR</v>
      </c>
      <c r="G126" t="str">
        <v xml:space="preserve">MALO </v>
      </c>
      <c r="H126" t="str">
        <v>05000140000-7593215</v>
      </c>
      <c r="I126" t="str">
        <v>MONITOR</v>
      </c>
      <c r="J126" t="str">
        <v>MOUSE, TECLADO, PARLANTE, MICROFONO, WEBCAM</v>
      </c>
      <c r="K126" t="str">
        <v>El computador no sirve.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Yajaira Jimenez</v>
      </c>
      <c r="AB126" t="str">
        <v>Teniente Político de la parroquia Chiguinda</v>
      </c>
    </row>
    <row r="127">
      <c r="A127" t="str">
        <v>GZM86515194</v>
      </c>
      <c r="B127" t="str">
        <v>26-03-2024 03:36 PM</v>
      </c>
      <c r="C127">
        <f>HYPERLINK("https://www.google.com/maps/place/-2.886385%2C-78.7759559", "-2.886385,-78.7759559")</f>
      </c>
      <c r="D127" t="str">
        <v>GUALAQUIZA</v>
      </c>
      <c r="E127" t="str">
        <v>CHIGÜINDA</v>
      </c>
      <c r="F127" t="str">
        <v>COMPUTADOR</v>
      </c>
      <c r="G127" t="str">
        <v xml:space="preserve">MALO </v>
      </c>
      <c r="H127" t="str">
        <v>CNC107QNMG</v>
      </c>
      <c r="I127" t="str">
        <v>MONITOR</v>
      </c>
      <c r="J127" t="str">
        <v>MOUSE, TECLADO, PARLANTE, MICROFONO, WEBCAM, CPU</v>
      </c>
      <c r="K127" t="str">
        <v>Solo se encuentra el monitor.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Yajaira Jimenez</v>
      </c>
      <c r="AB127" t="str">
        <v>Teniente Político de la parroquia Chiguinda</v>
      </c>
    </row>
    <row r="128">
      <c r="A128" t="str">
        <v>GZM86515194</v>
      </c>
      <c r="B128" t="str">
        <v>26-03-2024 03:36 PM</v>
      </c>
      <c r="C128">
        <f>HYPERLINK("https://www.google.com/maps/place/-2.886385%2C-78.7759559", "-2.886385,-78.7759559")</f>
      </c>
      <c r="D128" t="str">
        <v>GUALAQUIZA</v>
      </c>
      <c r="E128" t="str">
        <v>CHIGÜINDA</v>
      </c>
      <c r="F128" t="str">
        <v>COMPUTADOR</v>
      </c>
      <c r="G128" t="str">
        <v>REGULAR</v>
      </c>
      <c r="H128" t="str">
        <v>V9-05WA6W</v>
      </c>
      <c r="I128" t="str">
        <v>MOUSE, MONITOR, TECLADO, PARLANTE</v>
      </c>
      <c r="J128" t="str">
        <v>MICROFONO, WEBCAM</v>
      </c>
      <c r="K128" t="str">
        <v>Tiene problemas en el CPU.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Yajaira Jimenez</v>
      </c>
      <c r="AB128" t="str">
        <v>Teniente Político de la parroquia Chiguinda</v>
      </c>
    </row>
    <row r="129">
      <c r="A129" t="str">
        <v>LNI45504705</v>
      </c>
      <c r="B129" t="str">
        <v>26-03-2024 03:18 PM</v>
      </c>
      <c r="C129">
        <f>HYPERLINK("https://www.google.com/maps/place/-2.9658425%2C-78.4315957", "-2.9658425,-78.4315957")</f>
      </c>
      <c r="D129" t="str">
        <v>LIMON INDANZA</v>
      </c>
      <c r="E129" t="str">
        <v>GENERAL LEONIDAS PLAZA GUTIÉRREZ</v>
      </c>
      <c r="F129" t="str">
        <v>COMPUTADOR</v>
      </c>
      <c r="G129" t="str">
        <v>REGULAR</v>
      </c>
      <c r="H129" t="str">
        <v>3cq02906br</v>
      </c>
      <c r="I129" t="str">
        <v>MOUSE, MONITOR, TECLADO</v>
      </c>
      <c r="J129" t="str">
        <v>PARLANTE, MICROFONO, WEBCAM</v>
      </c>
      <c r="K129" t="str">
        <v xml:space="preserve">La computadora esta en condiciones regulares y el Internet es demasiado lento 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 xml:space="preserve">Marin Matute Mersy Alexandra </v>
      </c>
      <c r="AB129" t="str">
        <v xml:space="preserve">Asistente de Jefatura Politica Limon Indanza </v>
      </c>
    </row>
    <row r="130">
      <c r="A130" t="str">
        <v>GPU86500693</v>
      </c>
      <c r="B130" t="str">
        <v>26-03-2024 02:43 PM</v>
      </c>
      <c r="C130">
        <f>HYPERLINK("https://www.google.com/maps/place/-2.0425041%2C-77.9832712", "-2.0425041,-77.9832712")</f>
      </c>
      <c r="D130" t="str">
        <v>HUAMBOYA</v>
      </c>
      <c r="E130" t="str">
        <v>CHIGUAZA</v>
      </c>
      <c r="F130" t="str">
        <v>IMPRESORA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>REGULAR</v>
      </c>
      <c r="R130" t="str">
        <v>70010029000IHU0201</v>
      </c>
      <c r="S130" t="str">
        <v>CABLE DE CORRIENTE, CARTUCHOS</v>
      </c>
      <c r="T130" t="str">
        <v>NO APLICA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Fredy Marcelo Cazar Proaño</v>
      </c>
      <c r="AB130" t="str">
        <v>Servidor Publico de Apoyo 2</v>
      </c>
    </row>
    <row r="131">
      <c r="A131" t="str">
        <v>GPU86500693</v>
      </c>
      <c r="B131" t="str">
        <v>26-03-2024 02:43 PM</v>
      </c>
      <c r="C131">
        <f>HYPERLINK("https://www.google.com/maps/place/-2.0425041%2C-77.9832712", "-2.0425041,-77.9832712")</f>
      </c>
      <c r="D131" t="str">
        <v>HUAMBOYA</v>
      </c>
      <c r="E131" t="str">
        <v>CHIGUAZA</v>
      </c>
      <c r="F131" t="str">
        <v>OTROS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COMPUTADOR</v>
      </c>
      <c r="W131" t="str">
        <v xml:space="preserve">FUE ROBADO </v>
      </c>
      <c r="X131" t="str">
        <v>MALO</v>
      </c>
      <c r="Y131" t="str">
        <v>como necesidades es dotar de equipo informatico</v>
      </c>
      <c r="Z131">
        <f>HYPERLINK("https://informaticpark.clappia.com/app/PAR478947/submission/GPU86500693/INF070022-PAR478947-2lll808pc1h400000000/WhatsApp%20Image%202024-03-26%20at%202.41.20%20PM.jpeg", "WhatsApp Image 2024-03-26 at 2.41.20 PM.jpeg")</f>
      </c>
      <c r="AA131" t="str">
        <v>Fredy Marcelo Cazar Proaño</v>
      </c>
      <c r="AB131" t="str">
        <v>Servidor Publico de Apoyo 2</v>
      </c>
    </row>
    <row r="132">
      <c r="A132" t="str">
        <v>WOI89481558</v>
      </c>
      <c r="B132" t="str">
        <v>26-03-2024 02:36 PM</v>
      </c>
      <c r="C132">
        <f>HYPERLINK("https://www.google.com/maps/place/-2.909367%2C-78.3988742", "-2.909367,-78.3988742")</f>
      </c>
      <c r="D132" t="str">
        <v>LIMON INDANZA</v>
      </c>
      <c r="E132" t="str">
        <v>YUNGANZA - EL ROSARIO</v>
      </c>
      <c r="F132" t="str">
        <v>COMPUTADOR</v>
      </c>
      <c r="G132" t="str">
        <v>REGULAR</v>
      </c>
      <c r="H132">
        <v>7593320</v>
      </c>
      <c r="I132" t="str">
        <v>MOUSE, MONITOR, TECLADO</v>
      </c>
      <c r="J132" t="str">
        <v>PARLANTE, MICROFONO, WEBCAM</v>
      </c>
      <c r="K132" t="str">
        <v xml:space="preserve">Puse el código del computador, el mouse se encuentra en mal estado, el monitor, cpu son muy lentos 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 xml:space="preserve">Marcelo Damián Sharup Domínguez </v>
      </c>
      <c r="AB132" t="str">
        <v xml:space="preserve">Teniente Político parroquia Yunganza-El Rosario </v>
      </c>
    </row>
    <row r="133">
      <c r="A133" t="str">
        <v>WOI89481558</v>
      </c>
      <c r="B133" t="str">
        <v>26-03-2024 02:36 PM</v>
      </c>
      <c r="C133">
        <f>HYPERLINK("https://www.google.com/maps/place/-2.909367%2C-78.3988742", "-2.909367,-78.3988742")</f>
      </c>
      <c r="D133" t="str">
        <v>LIMON INDANZA</v>
      </c>
      <c r="E133" t="str">
        <v>YUNGANZA - EL ROSARIO</v>
      </c>
      <c r="F133" t="str">
        <v>IMPRESORA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>REGULAR</v>
      </c>
      <c r="R133">
        <v>7593383</v>
      </c>
      <c r="S133" t="str">
        <v>CABLE DE CORRIENTE</v>
      </c>
      <c r="T133" t="str">
        <v>CARTUCHOS, TONER</v>
      </c>
      <c r="U133" t="str">
        <v xml:space="preserve">Puse el código de la impresora, el cable está en mal estado 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 xml:space="preserve">Marcelo Damián Sharup Domínguez </v>
      </c>
      <c r="AB133" t="str">
        <v xml:space="preserve">Teniente Político parroquia Yunganza-El Rosario </v>
      </c>
    </row>
    <row r="134">
      <c r="A134" t="str">
        <v>MDJ33341853</v>
      </c>
      <c r="B134" t="str">
        <v>26-03-2024 02:36 PM</v>
      </c>
      <c r="C134">
        <f>HYPERLINK("https://www.google.com/maps/place/-1.9441082%2C-77.9895928", "-1.9441082,-77.9895928")</f>
      </c>
      <c r="D134" t="str">
        <v>HUAMBOYA</v>
      </c>
      <c r="E134" t="str">
        <v>HUAMBOYA</v>
      </c>
      <c r="F134" t="str">
        <v>COMPUTADOR</v>
      </c>
      <c r="G134" t="str">
        <v>REGULAR</v>
      </c>
      <c r="H134" t="str">
        <v>700100060002HU0101</v>
      </c>
      <c r="I134" t="str">
        <v>MOUSE, MONITOR, TECLADO, PARLANTE</v>
      </c>
      <c r="J134" t="str">
        <v/>
      </c>
      <c r="K134" t="str">
        <v>SI SE PUEDE USAR, PERO CON ALGUNAS DIFICULTADES, ESTA LENTO.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LILIAN QUEZADA</v>
      </c>
      <c r="AB134" t="str">
        <v>SERVIDOR PUBLICO DE APOYO 2</v>
      </c>
    </row>
    <row r="135">
      <c r="A135" t="str">
        <v>MDJ33341853</v>
      </c>
      <c r="B135" t="str">
        <v>26-03-2024 02:36 PM</v>
      </c>
      <c r="C135">
        <f>HYPERLINK("https://www.google.com/maps/place/-1.9441082%2C-77.9895928", "-1.9441082,-77.9895928")</f>
      </c>
      <c r="D135" t="str">
        <v>HUAMBOYA</v>
      </c>
      <c r="E135" t="str">
        <v>HUAMBOYA</v>
      </c>
      <c r="F135" t="str">
        <v>IMPRESORA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>REGULAR</v>
      </c>
      <c r="R135" t="str">
        <v>700100290002HU01</v>
      </c>
      <c r="S135" t="str">
        <v>NO APLICA</v>
      </c>
      <c r="T135" t="str">
        <v>NO APLICA</v>
      </c>
      <c r="U135" t="str">
        <v>IMPRESORA MATRICIAL, EL RODILLO ESTA DEFECTUOSO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LILIAN QUEZADA</v>
      </c>
      <c r="AB135" t="str">
        <v>SERVIDOR PUBLICO DE APOYO 2</v>
      </c>
    </row>
    <row r="136">
      <c r="A136" t="str">
        <v>MDJ33341853</v>
      </c>
      <c r="B136" t="str">
        <v>26-03-2024 02:36 PM</v>
      </c>
      <c r="C136">
        <f>HYPERLINK("https://www.google.com/maps/place/-1.9441082%2C-77.9895928", "-1.9441082,-77.9895928")</f>
      </c>
      <c r="D136" t="str">
        <v>HUAMBOYA</v>
      </c>
      <c r="E136" t="str">
        <v>HUAMBOYA</v>
      </c>
      <c r="F136" t="str">
        <v>IMPRESORA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>REGULAR</v>
      </c>
      <c r="R136" t="str">
        <v>700100290002HU0102</v>
      </c>
      <c r="S136" t="str">
        <v>CABLE DE CORRIENTE, ESCANER, CARTUCHOS, TONER</v>
      </c>
      <c r="T136" t="str">
        <v>NO APLICA</v>
      </c>
      <c r="U136" t="str">
        <v>TIENE FISURAS EN LA  ALMOHADILLA Y SE RUEGA LA TINTA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LILIAN QUEZADA</v>
      </c>
      <c r="AB136" t="str">
        <v>SERVIDOR PUBLICO DE APOYO 2</v>
      </c>
    </row>
    <row r="137">
      <c r="A137" t="str">
        <v>BMO04285314</v>
      </c>
      <c r="B137" t="str">
        <v>26-03-2024 02:19 PM</v>
      </c>
      <c r="C137">
        <f>HYPERLINK("https://www.google.com/maps/place/-2.9658377%2C-78.4315943", "-2.9658377,-78.4315943")</f>
      </c>
      <c r="D137" t="str">
        <v>LIMON INDANZA</v>
      </c>
      <c r="E137" t="str">
        <v>GENERAL LEONIDAS PLAZA GUTIÉRREZ</v>
      </c>
      <c r="F137" t="str">
        <v>COMPUTADOR</v>
      </c>
      <c r="G137" t="str">
        <v>REGULAR</v>
      </c>
      <c r="H137" t="str">
        <v>05000140000-7593179</v>
      </c>
      <c r="I137" t="str">
        <v>MOUSE, MONITOR, TECLADO</v>
      </c>
      <c r="J137" t="str">
        <v>PARLANTE, MICROFONO</v>
      </c>
      <c r="K137" t="str">
        <v xml:space="preserve">Regular, faltan parlantes, internet en mal estado 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Jeysson Fernando Guzmán Matute</v>
      </c>
      <c r="AB137" t="str">
        <v>Asistente de Comisaría Nacional De Policía Limón Indanza</v>
      </c>
    </row>
    <row r="138">
      <c r="A138" t="str">
        <v>WPL97712197</v>
      </c>
      <c r="B138" t="str">
        <v>26-03-2024 01:29 PM</v>
      </c>
      <c r="C138">
        <f>HYPERLINK("https://www.google.com/maps/place/-2.095054%2C-78.051106", "-2.095054,-78.051106")</f>
      </c>
      <c r="D138" t="str">
        <v>MORONA</v>
      </c>
      <c r="E138" t="str">
        <v>SINAÍ</v>
      </c>
      <c r="F138" t="str">
        <v>COMPUTADOR</v>
      </c>
      <c r="G138" t="str">
        <v>REGULAR</v>
      </c>
      <c r="H138" t="str">
        <v>MXL112011D</v>
      </c>
      <c r="I138" t="str">
        <v>MOUSE, MONITOR, TECLADO</v>
      </c>
      <c r="J138" t="str">
        <v>PARLANTE, MICROFONO, WEBCAM</v>
      </c>
      <c r="K138" t="str">
        <v xml:space="preserve">En vista de que ya cumplieron su vida util recomendaría cambien los equipos para poder trabajar de eficiente.  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LUIS SISALIMA</v>
      </c>
      <c r="AB138" t="str">
        <v>SECRETARIO DE LA TPPS.</v>
      </c>
    </row>
    <row r="139">
      <c r="A139" t="str">
        <v>WPL97712197</v>
      </c>
      <c r="B139" t="str">
        <v>26-03-2024 01:29 PM</v>
      </c>
      <c r="C139">
        <f>HYPERLINK("https://www.google.com/maps/place/-2.095054%2C-78.051106", "-2.095054,-78.051106")</f>
      </c>
      <c r="D139" t="str">
        <v>MORONA</v>
      </c>
      <c r="E139" t="str">
        <v>SINAÍ</v>
      </c>
      <c r="F139" t="str">
        <v>COMPUTADOR</v>
      </c>
      <c r="G139" t="str">
        <v xml:space="preserve">MALO </v>
      </c>
      <c r="H139" t="str">
        <v>AH519302204</v>
      </c>
      <c r="I139" t="str">
        <v>MOUSE, MONITOR, TECLADO</v>
      </c>
      <c r="J139" t="str">
        <v>PARLANTE, MICROFONO, WEBCAM</v>
      </c>
      <c r="K139" t="str">
        <v>El CPU en mal estado no funciona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LUIS SISALIMA</v>
      </c>
      <c r="AB139" t="str">
        <v>SECRETARIO DE LA TPPS.</v>
      </c>
    </row>
    <row r="140">
      <c r="A140" t="str">
        <v>LTU22812802</v>
      </c>
      <c r="B140" t="str">
        <v>26-03-2024 10:43 AM</v>
      </c>
      <c r="C140">
        <f>HYPERLINK("https://www.google.com/maps/place/-2.7394048%2C-78.8529152", "-2.7394048,-78.8529152")</f>
      </c>
      <c r="D140" t="str">
        <v>PALORA</v>
      </c>
      <c r="E140" t="str">
        <v>PALORA</v>
      </c>
      <c r="F140" t="str">
        <v>COMPUTADOR</v>
      </c>
      <c r="G140" t="str">
        <v xml:space="preserve">MALO </v>
      </c>
      <c r="H140" t="str">
        <v>700100060002PA0201</v>
      </c>
      <c r="I140" t="str">
        <v>MOUSE, TECLADO</v>
      </c>
      <c r="J140" t="str">
        <v>PARLANTE, MICROFONO, WEBCAM, CPU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LEONOR ORTIZ</v>
      </c>
      <c r="AB140" t="str">
        <v>SECRETARIA DE LA JEFATURA</v>
      </c>
    </row>
    <row r="141">
      <c r="A141" t="str">
        <v>DHP74455644</v>
      </c>
      <c r="B141" t="str">
        <v>26-03-2024 10:42 AM</v>
      </c>
      <c r="C141">
        <f>HYPERLINK("https://www.google.com/maps/place/1.698249%2C77.967986", "1.698249,77.967986")</f>
      </c>
      <c r="D141" t="str">
        <v>PALORA</v>
      </c>
      <c r="E141" t="str">
        <v>PALORA</v>
      </c>
      <c r="F141" t="str">
        <v>COMPUTADOR</v>
      </c>
      <c r="G141" t="str">
        <v xml:space="preserve">MALO </v>
      </c>
      <c r="H141" t="str">
        <v>70010060002PA0302</v>
      </c>
      <c r="I141" t="str">
        <v>MOUSE, MONITOR, TECLADO, PARLANTE</v>
      </c>
      <c r="J141" t="str">
        <v>NO APLICA</v>
      </c>
      <c r="K141" t="str">
        <v>Equipo dañado, no sirve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Mayra Barba</v>
      </c>
      <c r="AB141" t="str">
        <v>Secretaria Comisaria de Palora</v>
      </c>
    </row>
    <row r="142">
      <c r="A142" t="str">
        <v>DHP74455644</v>
      </c>
      <c r="B142" t="str">
        <v>26-03-2024 10:42 AM</v>
      </c>
      <c r="C142">
        <f>HYPERLINK("https://www.google.com/maps/place/1.698249%2C77.967986", "1.698249,77.967986")</f>
      </c>
      <c r="D142" t="str">
        <v>PALORA</v>
      </c>
      <c r="E142" t="str">
        <v>PALORA</v>
      </c>
      <c r="F142" t="str">
        <v>COMPUTADOR</v>
      </c>
      <c r="G142" t="str">
        <v xml:space="preserve">MALO </v>
      </c>
      <c r="H142" t="str">
        <v>700100060002PA301</v>
      </c>
      <c r="I142" t="str">
        <v>MOUSE, MONITOR, TECLADO</v>
      </c>
      <c r="J142" t="str">
        <v>NO APLICA</v>
      </c>
      <c r="K142" t="str">
        <v>Equipo dañado, no vale</v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Mayra Barba</v>
      </c>
      <c r="AB142" t="str">
        <v>Secretaria Comisaria de Palora</v>
      </c>
    </row>
    <row r="143">
      <c r="A143" t="str">
        <v>DHP74455644</v>
      </c>
      <c r="B143" t="str">
        <v>26-03-2024 10:42 AM</v>
      </c>
      <c r="C143">
        <f>HYPERLINK("https://www.google.com/maps/place/1.698249%2C77.967986", "1.698249,77.967986")</f>
      </c>
      <c r="D143" t="str">
        <v>PALORA</v>
      </c>
      <c r="E143" t="str">
        <v>PALORA</v>
      </c>
      <c r="F143" t="str">
        <v>IMPRESORA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 xml:space="preserve">MALO </v>
      </c>
      <c r="R143" t="str">
        <v>700100290001PA0301</v>
      </c>
      <c r="S143" t="str">
        <v>NO APLICA</v>
      </c>
      <c r="T143" t="str">
        <v>NO APLICA</v>
      </c>
      <c r="U143" t="str">
        <v>Impresora no funciona,mal estado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Mayra Barba</v>
      </c>
      <c r="AB143" t="str">
        <v>Secretaria Comisaria de Palora</v>
      </c>
    </row>
    <row r="144">
      <c r="A144" t="str">
        <v>BCV53268529</v>
      </c>
      <c r="B144" t="str">
        <v>26-03-2024 09:35 AM</v>
      </c>
      <c r="C144">
        <f>HYPERLINK("https://www.google.com/maps/place/2.3149208%2C78.1046413", "2.3149208,78.1046413")</f>
      </c>
      <c r="D144" t="str">
        <v>MORONA</v>
      </c>
      <c r="E144" t="str">
        <v>SEVILLA DON BOSCO</v>
      </c>
      <c r="F144" t="str">
        <v>COMPUTADOR</v>
      </c>
      <c r="G144" t="str">
        <v>REGULAR</v>
      </c>
      <c r="H144" t="str">
        <v xml:space="preserve">WE2892075142C </v>
      </c>
      <c r="I144" t="str">
        <v>MOUSE, MONITOR, TECLADO</v>
      </c>
      <c r="J144" t="str">
        <v>PARLANTE, MICROFONO, WEBCAM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Enrique Chiriap</v>
      </c>
      <c r="AB144" t="str">
        <v>Secretario Tenencia Política de Sevilla</v>
      </c>
    </row>
    <row r="145">
      <c r="A145" t="str">
        <v>BCV53268529</v>
      </c>
      <c r="B145" t="str">
        <v>26-03-2024 09:35 AM</v>
      </c>
      <c r="C145">
        <f>HYPERLINK("https://www.google.com/maps/place/2.3149208%2C78.1046413", "2.3149208,78.1046413")</f>
      </c>
      <c r="D145" t="str">
        <v>MORONA</v>
      </c>
      <c r="E145" t="str">
        <v>SEVILLA DON BOSCO</v>
      </c>
      <c r="F145" t="str">
        <v>COMPUTADOR</v>
      </c>
      <c r="G145" t="str">
        <v>BUENO</v>
      </c>
      <c r="H145" t="str">
        <v>S/N</v>
      </c>
      <c r="I145" t="str">
        <v>MOUSE, MONITOR, TECLADO, WEBCAM</v>
      </c>
      <c r="J145" t="str">
        <v>PARLANTE, MICROFONO</v>
      </c>
      <c r="K145" t="str">
        <v>Este equipo se obtuvo mediante autoestima, por lo que no está registrado.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Enrique Chiriap</v>
      </c>
      <c r="AB145" t="str">
        <v>Secretario Tenencia Política de Sevilla</v>
      </c>
    </row>
    <row r="146">
      <c r="A146" t="str">
        <v>BCV53268529</v>
      </c>
      <c r="B146" t="str">
        <v>26-03-2024 09:35 AM</v>
      </c>
      <c r="C146">
        <f>HYPERLINK("https://www.google.com/maps/place/2.3149208%2C78.1046413", "2.3149208,78.1046413")</f>
      </c>
      <c r="D146" t="str">
        <v>MORONA</v>
      </c>
      <c r="E146" t="str">
        <v>SEVILLA DON BOSCO</v>
      </c>
      <c r="F146" t="str">
        <v>IMPRESORA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 xml:space="preserve">BUENO </v>
      </c>
      <c r="R146" t="str">
        <v>S/N</v>
      </c>
      <c r="S146" t="str">
        <v>CABLE DE CORRIENTE, ESCANER</v>
      </c>
      <c r="T146" t="str">
        <v>NO APLICA</v>
      </c>
      <c r="U146" t="str">
        <v>Impresora de tinta continua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Enrique Chiriap</v>
      </c>
      <c r="AB146" t="str">
        <v>Secretario Tenencia Política de Sevilla</v>
      </c>
    </row>
    <row r="147">
      <c r="A147" t="str">
        <v>GEH30382122</v>
      </c>
      <c r="B147" t="str">
        <v>25-03-2024 05:11 PM</v>
      </c>
      <c r="C147">
        <f>HYPERLINK("https://www.google.com/maps/place/-2.7623424%2C-78.3286272", "-2.7623424,-78.3286272")</f>
      </c>
      <c r="D147" t="str">
        <v>SANTIAGO DE MENDEZ</v>
      </c>
      <c r="E147" t="str">
        <v>CHUPIANZA</v>
      </c>
      <c r="F147" t="str">
        <v>COMPUTADOR</v>
      </c>
      <c r="G147" t="str">
        <v xml:space="preserve">MALO </v>
      </c>
      <c r="H147" t="str">
        <v>7001004400015M0101</v>
      </c>
      <c r="I147" t="str">
        <v>MOUSE, MONITOR, TECLADO</v>
      </c>
      <c r="J147" t="str">
        <v>PARLANTE, MICROFONO, WEBCAM</v>
      </c>
      <c r="K147" t="str">
        <v>REGULAR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ELVIA RAQUEL BARBA CALLE</v>
      </c>
      <c r="AB147" t="str">
        <v>SERVIDOR PUBLICO DE APOYO 2</v>
      </c>
    </row>
    <row r="148">
      <c r="A148" t="str">
        <v>GEH30382122</v>
      </c>
      <c r="B148" t="str">
        <v>25-03-2024 05:11 PM</v>
      </c>
      <c r="C148">
        <f>HYPERLINK("https://www.google.com/maps/place/-2.7623424%2C-78.3286272", "-2.7623424,-78.3286272")</f>
      </c>
      <c r="D148" t="str">
        <v>SANTIAGO DE MENDEZ</v>
      </c>
      <c r="E148" t="str">
        <v>CHUPIANZA</v>
      </c>
      <c r="F148" t="str">
        <v>LAPTOP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BUENO</v>
      </c>
      <c r="M148" t="str">
        <v>5CG3211RKY</v>
      </c>
      <c r="N148" t="str">
        <v>PANTALLA, TECLADO, PARLANTE, WEBCAM</v>
      </c>
      <c r="O148" t="str">
        <v>PANEL TACTIL, MICROFONO</v>
      </c>
      <c r="P148" t="str">
        <v>BUENO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ELVIA RAQUEL BARBA CALLE</v>
      </c>
      <c r="AB148" t="str">
        <v>SERVIDOR PUBLICO DE APOYO 2</v>
      </c>
    </row>
    <row r="149">
      <c r="A149" t="str">
        <v>GEH30382122</v>
      </c>
      <c r="B149" t="str">
        <v>25-03-2024 05:11 PM</v>
      </c>
      <c r="C149">
        <f>HYPERLINK("https://www.google.com/maps/place/-2.7623424%2C-78.3286272", "-2.7623424,-78.3286272")</f>
      </c>
      <c r="D149" t="str">
        <v>SANTIAGO DE MENDEZ</v>
      </c>
      <c r="E149" t="str">
        <v>CHUPIANZA</v>
      </c>
      <c r="F149" t="str">
        <v>IMPRESORA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>REGULAR</v>
      </c>
      <c r="R149" t="str">
        <v>EPSON L210 S25K248517</v>
      </c>
      <c r="S149" t="str">
        <v>CABLE DE CORRIENTE, ESCANER, CARTUCHOS</v>
      </c>
      <c r="T149" t="str">
        <v>NO APLICA</v>
      </c>
      <c r="U149" t="str">
        <v>ESTADO REGULAR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ELVIA RAQUEL BARBA CALLE</v>
      </c>
      <c r="AB149" t="str">
        <v>SERVIDOR PUBLICO DE APOYO 2</v>
      </c>
    </row>
    <row r="150">
      <c r="A150" t="str">
        <v>GEH30382122</v>
      </c>
      <c r="B150" t="str">
        <v>25-03-2024 05:11 PM</v>
      </c>
      <c r="C150">
        <f>HYPERLINK("https://www.google.com/maps/place/-2.7623424%2C-78.3286272", "-2.7623424,-78.3286272")</f>
      </c>
      <c r="D150" t="str">
        <v>SANTIAGO DE MENDEZ</v>
      </c>
      <c r="E150" t="str">
        <v>CHUPIANZA</v>
      </c>
      <c r="F150" t="str">
        <v>IMPRESORA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 xml:space="preserve">BUENO </v>
      </c>
      <c r="R150" t="str">
        <v>Z2TSBABB400084W</v>
      </c>
      <c r="S150" t="str">
        <v>NO APLICA</v>
      </c>
      <c r="T150" t="str">
        <v>CABLE DE CORRIENTE, TONER</v>
      </c>
      <c r="U150" t="str">
        <v>ESTA EN BUEN ESTADO PERO NO TENE LOS CABLES Y TONER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ELVIA RAQUEL BARBA CALLE</v>
      </c>
      <c r="AB150" t="str">
        <v>SERVIDOR PUBLICO DE APOYO 2</v>
      </c>
    </row>
    <row r="151">
      <c r="A151" t="str">
        <v>GEH30382122</v>
      </c>
      <c r="B151" t="str">
        <v>25-03-2024 05:11 PM</v>
      </c>
      <c r="C151">
        <f>HYPERLINK("https://www.google.com/maps/place/-2.7623424%2C-78.3286272", "-2.7623424,-78.3286272")</f>
      </c>
      <c r="D151" t="str">
        <v>SANTIAGO DE MENDEZ</v>
      </c>
      <c r="E151" t="str">
        <v>CHUPIANZA</v>
      </c>
      <c r="F151" t="str">
        <v>COMPUTADOR</v>
      </c>
      <c r="G151" t="str">
        <v xml:space="preserve">MALO </v>
      </c>
      <c r="H151" t="str">
        <v>015030598525</v>
      </c>
      <c r="I151" t="str">
        <v>MONITOR, TECLADO</v>
      </c>
      <c r="J151" t="str">
        <v>MOUSE, PARLANTE, MICROFONO, WEBCAM, CPU</v>
      </c>
      <c r="K151" t="str">
        <v xml:space="preserve">ESTA COMPUTADORA ESTA PARA DAR DE BAJA LO UNICO QUE SIRVE ES EL MONITOR, EL CPU SE ENCUENTRA EN LA GOBERNACIÓN 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ELVIA RAQUEL BARBA CALLE</v>
      </c>
      <c r="AB151" t="str">
        <v>SERVIDOR PUBLICO DE APOYO 2</v>
      </c>
    </row>
    <row r="152">
      <c r="A152" t="str">
        <v>KWK57396413</v>
      </c>
      <c r="B152" t="str">
        <v>25-03-2024 04:17 PM</v>
      </c>
      <c r="C152">
        <f>HYPERLINK("https://www.google.com/maps/place/-3.2447223%2C-78.7263906", "-3.2447223,-78.7263906")</f>
      </c>
      <c r="D152" t="str">
        <v>GUALAQUIZA</v>
      </c>
      <c r="E152" t="str">
        <v>BERMEJOS</v>
      </c>
      <c r="F152" t="str">
        <v>COMPUTADOR</v>
      </c>
      <c r="G152" t="str">
        <v xml:space="preserve">MALO </v>
      </c>
      <c r="H152" t="str">
        <v>01048844246GL0247</v>
      </c>
      <c r="I152" t="str">
        <v>MOUSE, MONITOR, TECLADO</v>
      </c>
      <c r="J152" t="str">
        <v>PARLANTE, MICROFONO, WEBCAM, CPU</v>
      </c>
      <c r="K152" t="str">
        <v xml:space="preserve">Esta  totalmente dañado ya ni prende 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 xml:space="preserve">Frailin Jesús Cárdenas Pacheco </v>
      </c>
      <c r="AB152" t="str">
        <v xml:space="preserve">Teniente político de la parroquia Bermejos </v>
      </c>
    </row>
    <row r="153">
      <c r="A153" t="str">
        <v>UHU86902776</v>
      </c>
      <c r="B153" t="str">
        <v>25-03-2024 03:58 PM</v>
      </c>
      <c r="C153">
        <f>HYPERLINK("https://www.google.com/maps/place/-2.4510799%2C-78.1712606", "-2.4510799,-78.1712606")</f>
      </c>
      <c r="D153" t="str">
        <v>SUCUA</v>
      </c>
      <c r="E153" t="str">
        <v>SUCUA</v>
      </c>
      <c r="F153" t="str">
        <v>COMPUTADOR</v>
      </c>
      <c r="G153" t="str">
        <v xml:space="preserve">MALO </v>
      </c>
      <c r="H153">
        <v>700100130001502</v>
      </c>
      <c r="I153" t="str">
        <v>MOUSE, MONITOR, TECLADO</v>
      </c>
      <c r="J153" t="str">
        <v>PARLANTE, MICROFONO, WEBCAM</v>
      </c>
      <c r="K153" t="str">
        <v>El equipo de computo esta en mal.estado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Dunia Crespo</v>
      </c>
      <c r="AB153" t="str">
        <v>Asistente de la Jefatura Política Sucúa</v>
      </c>
    </row>
    <row r="154">
      <c r="A154" t="str">
        <v>UHU86902776</v>
      </c>
      <c r="B154" t="str">
        <v>25-03-2024 03:58 PM</v>
      </c>
      <c r="C154">
        <f>HYPERLINK("https://www.google.com/maps/place/-2.4510799%2C-78.1712606", "-2.4510799,-78.1712606")</f>
      </c>
      <c r="D154" t="str">
        <v>SUCUA</v>
      </c>
      <c r="E154" t="str">
        <v>SUCUA</v>
      </c>
      <c r="F154" t="str">
        <v>IMPRESORA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>REGULAR</v>
      </c>
      <c r="R154">
        <v>700100290002501</v>
      </c>
      <c r="S154" t="str">
        <v>CABLE DE CORRIENTE, CARTUCHOS</v>
      </c>
      <c r="T154" t="str">
        <v>ESCANER</v>
      </c>
      <c r="U154" t="str">
        <v>Se encuentra en regular estado EPSON L355 COLOR NEGRO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Dunia Crespo</v>
      </c>
      <c r="AB154" t="str">
        <v>Asistente de la Jefatura Política Sucúa</v>
      </c>
    </row>
    <row r="155">
      <c r="A155" t="str">
        <v>XWV43554586</v>
      </c>
      <c r="B155" t="str">
        <v>25-03-2024 03:45 PM</v>
      </c>
      <c r="C155">
        <f>HYPERLINK("https://www.google.com/maps/place/-1.6983054%2C-77.9680131", "-1.6983054,-77.9680131")</f>
      </c>
      <c r="D155" t="str">
        <v>PALORA</v>
      </c>
      <c r="E155" t="str">
        <v>PALORA</v>
      </c>
      <c r="F155" t="str">
        <v>COMPUTADOR</v>
      </c>
      <c r="G155" t="str">
        <v xml:space="preserve">MALO </v>
      </c>
      <c r="H155" t="str">
        <v>70010006002PA0201</v>
      </c>
      <c r="I155" t="str">
        <v>MONITOR, TECLADO</v>
      </c>
      <c r="J155" t="str">
        <v>MOUSE, PARLANTE, MICROFONO, WEBCAM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LEONILA EUFEMIA ORTIZ ORTIZ</v>
      </c>
      <c r="AB155" t="str">
        <v>SECRETARIA DE JEFATURA DE PALORA</v>
      </c>
    </row>
  </sheetData>
  <mergeCells count="367">
    <mergeCell ref="A3:A7"/>
    <mergeCell ref="B3:B7"/>
    <mergeCell ref="C3:C7"/>
    <mergeCell ref="D3:D7"/>
    <mergeCell ref="E3:E7"/>
    <mergeCell ref="AA3:AA7"/>
    <mergeCell ref="AB3:AB7"/>
    <mergeCell ref="A8:A9"/>
    <mergeCell ref="B8:B9"/>
    <mergeCell ref="C8:C9"/>
    <mergeCell ref="D8:D9"/>
    <mergeCell ref="E8:E9"/>
    <mergeCell ref="AA8:AA9"/>
    <mergeCell ref="AB8:AB9"/>
    <mergeCell ref="A10"/>
    <mergeCell ref="B10"/>
    <mergeCell ref="C10"/>
    <mergeCell ref="D10"/>
    <mergeCell ref="E10"/>
    <mergeCell ref="AA10"/>
    <mergeCell ref="AB10"/>
    <mergeCell ref="A11"/>
    <mergeCell ref="B11"/>
    <mergeCell ref="C11"/>
    <mergeCell ref="D11"/>
    <mergeCell ref="E11"/>
    <mergeCell ref="AA11"/>
    <mergeCell ref="AB11"/>
    <mergeCell ref="A12"/>
    <mergeCell ref="B12"/>
    <mergeCell ref="C12"/>
    <mergeCell ref="D12"/>
    <mergeCell ref="E12"/>
    <mergeCell ref="AA12"/>
    <mergeCell ref="AB12"/>
    <mergeCell ref="A13"/>
    <mergeCell ref="B13"/>
    <mergeCell ref="C13"/>
    <mergeCell ref="D13"/>
    <mergeCell ref="E13"/>
    <mergeCell ref="AA13"/>
    <mergeCell ref="AB13"/>
    <mergeCell ref="A14"/>
    <mergeCell ref="B14"/>
    <mergeCell ref="C14"/>
    <mergeCell ref="D14"/>
    <mergeCell ref="E14"/>
    <mergeCell ref="AA14"/>
    <mergeCell ref="AB14"/>
    <mergeCell ref="A15:A16"/>
    <mergeCell ref="B15:B16"/>
    <mergeCell ref="C15:C16"/>
    <mergeCell ref="D15:D16"/>
    <mergeCell ref="E15:E16"/>
    <mergeCell ref="AA15:AA16"/>
    <mergeCell ref="AB15:AB16"/>
    <mergeCell ref="A17:A18"/>
    <mergeCell ref="B17:B18"/>
    <mergeCell ref="C17:C18"/>
    <mergeCell ref="D17:D18"/>
    <mergeCell ref="E17:E18"/>
    <mergeCell ref="AA17:AA18"/>
    <mergeCell ref="AB17:AB18"/>
    <mergeCell ref="A19"/>
    <mergeCell ref="B19"/>
    <mergeCell ref="C19"/>
    <mergeCell ref="D19"/>
    <mergeCell ref="E19"/>
    <mergeCell ref="AA19"/>
    <mergeCell ref="AB19"/>
    <mergeCell ref="A20:A21"/>
    <mergeCell ref="B20:B21"/>
    <mergeCell ref="C20:C21"/>
    <mergeCell ref="D20:D21"/>
    <mergeCell ref="E20:E21"/>
    <mergeCell ref="AA20:AA21"/>
    <mergeCell ref="AB20:AB21"/>
    <mergeCell ref="A22:A23"/>
    <mergeCell ref="B22:B23"/>
    <mergeCell ref="C22:C23"/>
    <mergeCell ref="D22:D23"/>
    <mergeCell ref="E22:E23"/>
    <mergeCell ref="AA22:AA23"/>
    <mergeCell ref="AB22:AB23"/>
    <mergeCell ref="A24:A54"/>
    <mergeCell ref="B24:B54"/>
    <mergeCell ref="C24:C54"/>
    <mergeCell ref="D24:D54"/>
    <mergeCell ref="E24:E54"/>
    <mergeCell ref="AA24:AA54"/>
    <mergeCell ref="AB24:AB54"/>
    <mergeCell ref="A55"/>
    <mergeCell ref="B55"/>
    <mergeCell ref="C55"/>
    <mergeCell ref="D55"/>
    <mergeCell ref="E55"/>
    <mergeCell ref="AA55"/>
    <mergeCell ref="AB55"/>
    <mergeCell ref="A56"/>
    <mergeCell ref="B56"/>
    <mergeCell ref="C56"/>
    <mergeCell ref="D56"/>
    <mergeCell ref="E56"/>
    <mergeCell ref="AA56"/>
    <mergeCell ref="AB56"/>
    <mergeCell ref="A57"/>
    <mergeCell ref="B57"/>
    <mergeCell ref="C57"/>
    <mergeCell ref="D57"/>
    <mergeCell ref="E57"/>
    <mergeCell ref="AA57"/>
    <mergeCell ref="AB57"/>
    <mergeCell ref="A58:A61"/>
    <mergeCell ref="B58:B61"/>
    <mergeCell ref="C58:C61"/>
    <mergeCell ref="D58:D61"/>
    <mergeCell ref="E58:E61"/>
    <mergeCell ref="AA58:AA61"/>
    <mergeCell ref="AB58:AB61"/>
    <mergeCell ref="A62:A88"/>
    <mergeCell ref="B62:B88"/>
    <mergeCell ref="C62:C88"/>
    <mergeCell ref="D62:D88"/>
    <mergeCell ref="E62:E88"/>
    <mergeCell ref="AA62:AA88"/>
    <mergeCell ref="AB62:AB88"/>
    <mergeCell ref="A89:A90"/>
    <mergeCell ref="B89:B90"/>
    <mergeCell ref="C89:C90"/>
    <mergeCell ref="D89:D90"/>
    <mergeCell ref="E89:E90"/>
    <mergeCell ref="AA89:AA90"/>
    <mergeCell ref="AB89:AB90"/>
    <mergeCell ref="A91"/>
    <mergeCell ref="B91"/>
    <mergeCell ref="C91"/>
    <mergeCell ref="D91"/>
    <mergeCell ref="E91"/>
    <mergeCell ref="AA91"/>
    <mergeCell ref="AB91"/>
    <mergeCell ref="A92:A94"/>
    <mergeCell ref="B92:B94"/>
    <mergeCell ref="C92:C94"/>
    <mergeCell ref="D92:D94"/>
    <mergeCell ref="E92:E94"/>
    <mergeCell ref="AA92:AA94"/>
    <mergeCell ref="AB92:AB94"/>
    <mergeCell ref="A95:A96"/>
    <mergeCell ref="B95:B96"/>
    <mergeCell ref="C95:C96"/>
    <mergeCell ref="D95:D96"/>
    <mergeCell ref="E95:E96"/>
    <mergeCell ref="AA95:AA96"/>
    <mergeCell ref="AB95:AB96"/>
    <mergeCell ref="A97:A99"/>
    <mergeCell ref="B97:B99"/>
    <mergeCell ref="C97:C99"/>
    <mergeCell ref="D97:D99"/>
    <mergeCell ref="E97:E99"/>
    <mergeCell ref="AA97:AA99"/>
    <mergeCell ref="AB97:AB99"/>
    <mergeCell ref="A100:A101"/>
    <mergeCell ref="B100:B101"/>
    <mergeCell ref="C100:C101"/>
    <mergeCell ref="D100:D101"/>
    <mergeCell ref="E100:E101"/>
    <mergeCell ref="AA100:AA101"/>
    <mergeCell ref="AB100:AB101"/>
    <mergeCell ref="A102"/>
    <mergeCell ref="B102"/>
    <mergeCell ref="C102"/>
    <mergeCell ref="D102"/>
    <mergeCell ref="E102"/>
    <mergeCell ref="AA102"/>
    <mergeCell ref="AB102"/>
    <mergeCell ref="A103:A107"/>
    <mergeCell ref="B103:B107"/>
    <mergeCell ref="C103:C107"/>
    <mergeCell ref="D103:D107"/>
    <mergeCell ref="E103:E107"/>
    <mergeCell ref="AA103:AA107"/>
    <mergeCell ref="AB103:AB107"/>
    <mergeCell ref="A108"/>
    <mergeCell ref="B108"/>
    <mergeCell ref="C108"/>
    <mergeCell ref="D108"/>
    <mergeCell ref="E108"/>
    <mergeCell ref="AA108"/>
    <mergeCell ref="AB108"/>
    <mergeCell ref="A109"/>
    <mergeCell ref="B109"/>
    <mergeCell ref="C109"/>
    <mergeCell ref="D109"/>
    <mergeCell ref="E109"/>
    <mergeCell ref="AA109"/>
    <mergeCell ref="AB109"/>
    <mergeCell ref="A110:A112"/>
    <mergeCell ref="B110:B112"/>
    <mergeCell ref="C110:C112"/>
    <mergeCell ref="D110:D112"/>
    <mergeCell ref="E110:E112"/>
    <mergeCell ref="AA110:AA112"/>
    <mergeCell ref="AB110:AB112"/>
    <mergeCell ref="A113:A114"/>
    <mergeCell ref="B113:B114"/>
    <mergeCell ref="C113:C114"/>
    <mergeCell ref="D113:D114"/>
    <mergeCell ref="E113:E114"/>
    <mergeCell ref="AA113:AA114"/>
    <mergeCell ref="AB113:AB114"/>
    <mergeCell ref="A115"/>
    <mergeCell ref="B115"/>
    <mergeCell ref="C115"/>
    <mergeCell ref="D115"/>
    <mergeCell ref="E115"/>
    <mergeCell ref="AA115"/>
    <mergeCell ref="AB115"/>
    <mergeCell ref="A116"/>
    <mergeCell ref="B116"/>
    <mergeCell ref="C116"/>
    <mergeCell ref="D116"/>
    <mergeCell ref="E116"/>
    <mergeCell ref="AA116"/>
    <mergeCell ref="AB116"/>
    <mergeCell ref="A117"/>
    <mergeCell ref="B117"/>
    <mergeCell ref="C117"/>
    <mergeCell ref="D117"/>
    <mergeCell ref="E117"/>
    <mergeCell ref="AA117"/>
    <mergeCell ref="AB117"/>
    <mergeCell ref="A118"/>
    <mergeCell ref="B118"/>
    <mergeCell ref="C118"/>
    <mergeCell ref="D118"/>
    <mergeCell ref="E118"/>
    <mergeCell ref="AA118"/>
    <mergeCell ref="AB118"/>
    <mergeCell ref="A119"/>
    <mergeCell ref="B119"/>
    <mergeCell ref="C119"/>
    <mergeCell ref="D119"/>
    <mergeCell ref="E119"/>
    <mergeCell ref="AA119"/>
    <mergeCell ref="AB119"/>
    <mergeCell ref="A120:A121"/>
    <mergeCell ref="B120:B121"/>
    <mergeCell ref="C120:C121"/>
    <mergeCell ref="D120:D121"/>
    <mergeCell ref="E120:E121"/>
    <mergeCell ref="AA120:AA121"/>
    <mergeCell ref="AB120:AB121"/>
    <mergeCell ref="A122"/>
    <mergeCell ref="B122"/>
    <mergeCell ref="C122"/>
    <mergeCell ref="D122"/>
    <mergeCell ref="E122"/>
    <mergeCell ref="AA122"/>
    <mergeCell ref="AB122"/>
    <mergeCell ref="A123:A125"/>
    <mergeCell ref="B123:B125"/>
    <mergeCell ref="C123:C125"/>
    <mergeCell ref="D123:D125"/>
    <mergeCell ref="E123:E125"/>
    <mergeCell ref="AA123:AA125"/>
    <mergeCell ref="AB123:AB125"/>
    <mergeCell ref="A126:A128"/>
    <mergeCell ref="B126:B128"/>
    <mergeCell ref="C126:C128"/>
    <mergeCell ref="D126:D128"/>
    <mergeCell ref="E126:E128"/>
    <mergeCell ref="AA126:AA128"/>
    <mergeCell ref="AB126:AB128"/>
    <mergeCell ref="A129"/>
    <mergeCell ref="B129"/>
    <mergeCell ref="C129"/>
    <mergeCell ref="D129"/>
    <mergeCell ref="E129"/>
    <mergeCell ref="AA129"/>
    <mergeCell ref="AB129"/>
    <mergeCell ref="A130:A131"/>
    <mergeCell ref="B130:B131"/>
    <mergeCell ref="C130:C131"/>
    <mergeCell ref="D130:D131"/>
    <mergeCell ref="E130:E131"/>
    <mergeCell ref="AA130:AA131"/>
    <mergeCell ref="AB130:AB131"/>
    <mergeCell ref="A132:A133"/>
    <mergeCell ref="B132:B133"/>
    <mergeCell ref="C132:C133"/>
    <mergeCell ref="D132:D133"/>
    <mergeCell ref="E132:E133"/>
    <mergeCell ref="AA132:AA133"/>
    <mergeCell ref="AB132:AB133"/>
    <mergeCell ref="A134:A136"/>
    <mergeCell ref="B134:B136"/>
    <mergeCell ref="C134:C136"/>
    <mergeCell ref="D134:D136"/>
    <mergeCell ref="E134:E136"/>
    <mergeCell ref="AA134:AA136"/>
    <mergeCell ref="AB134:AB136"/>
    <mergeCell ref="A137"/>
    <mergeCell ref="B137"/>
    <mergeCell ref="C137"/>
    <mergeCell ref="D137"/>
    <mergeCell ref="E137"/>
    <mergeCell ref="AA137"/>
    <mergeCell ref="AB137"/>
    <mergeCell ref="A138:A139"/>
    <mergeCell ref="B138:B139"/>
    <mergeCell ref="C138:C139"/>
    <mergeCell ref="D138:D139"/>
    <mergeCell ref="E138:E139"/>
    <mergeCell ref="AA138:AA139"/>
    <mergeCell ref="AB138:AB139"/>
    <mergeCell ref="A140"/>
    <mergeCell ref="B140"/>
    <mergeCell ref="C140"/>
    <mergeCell ref="D140"/>
    <mergeCell ref="E140"/>
    <mergeCell ref="AA140"/>
    <mergeCell ref="AB140"/>
    <mergeCell ref="A141:A143"/>
    <mergeCell ref="B141:B143"/>
    <mergeCell ref="C141:C143"/>
    <mergeCell ref="D141:D143"/>
    <mergeCell ref="E141:E143"/>
    <mergeCell ref="AA141:AA143"/>
    <mergeCell ref="AB141:AB143"/>
    <mergeCell ref="A144:A146"/>
    <mergeCell ref="B144:B146"/>
    <mergeCell ref="C144:C146"/>
    <mergeCell ref="D144:D146"/>
    <mergeCell ref="E144:E146"/>
    <mergeCell ref="AA144:AA146"/>
    <mergeCell ref="AB144:AB146"/>
    <mergeCell ref="A147:A151"/>
    <mergeCell ref="B147:B151"/>
    <mergeCell ref="C147:C151"/>
    <mergeCell ref="D147:D151"/>
    <mergeCell ref="E147:E151"/>
    <mergeCell ref="AA147:AA151"/>
    <mergeCell ref="AB147:AB151"/>
    <mergeCell ref="A152"/>
    <mergeCell ref="B152"/>
    <mergeCell ref="C152"/>
    <mergeCell ref="D152"/>
    <mergeCell ref="E152"/>
    <mergeCell ref="AA152"/>
    <mergeCell ref="AB152"/>
    <mergeCell ref="A153:A154"/>
    <mergeCell ref="B153:B154"/>
    <mergeCell ref="C153:C154"/>
    <mergeCell ref="D153:D154"/>
    <mergeCell ref="E153:E154"/>
    <mergeCell ref="AA153:AA154"/>
    <mergeCell ref="AB153:AB154"/>
    <mergeCell ref="A155"/>
    <mergeCell ref="B155"/>
    <mergeCell ref="C155"/>
    <mergeCell ref="D155"/>
    <mergeCell ref="E155"/>
    <mergeCell ref="AA155"/>
    <mergeCell ref="AB155"/>
    <mergeCell ref="C1:E1"/>
    <mergeCell ref="F1:Z1"/>
    <mergeCell ref="AA1:AB1"/>
  </mergeCells>
  <ignoredErrors>
    <ignoredError numberStoredAsText="1" sqref="A1:AB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